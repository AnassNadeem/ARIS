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c24f54791b093bb/Desktop/Planning NeuroSim/"/>
    </mc:Choice>
  </mc:AlternateContent>
  <xr:revisionPtr revIDLastSave="3" documentId="11_BC0D2DB79EF882F460C872EE75F3EDEA1F23328C" xr6:coauthVersionLast="47" xr6:coauthVersionMax="47" xr10:uidLastSave="{8BDF68D0-CA62-436E-A9C2-7A354E8068DA}"/>
  <bookViews>
    <workbookView xWindow="-98" yWindow="-98" windowWidth="19396" windowHeight="11475" activeTab="2" xr2:uid="{00000000-000D-0000-FFFF-FFFF00000000}"/>
  </bookViews>
  <sheets>
    <sheet name="README" sheetId="1" r:id="rId1"/>
    <sheet name="Pre-Day-1 Setup" sheetId="2" r:id="rId2"/>
    <sheet name="Daily Log" sheetId="3" r:id="rId3"/>
    <sheet name="Weekly Review" sheetId="4" r:id="rId4"/>
    <sheet name="Phase Milestones" sheetId="5" r:id="rId5"/>
    <sheet name="Success Metrics" sheetId="6" r:id="rId6"/>
    <sheet name="Tier A B C Grafts" sheetId="7" r:id="rId7"/>
    <sheet name="Applications" sheetId="8" r:id="rId8"/>
    <sheet name="LinkedIn Outreach" sheetId="9" r:id="rId9"/>
    <sheet name="Mock Interviews" sheetId="10" r:id="rId10"/>
    <sheet name="Learning Resources" sheetId="11" r:id="rId11"/>
    <sheet name="Risks" sheetId="12" r:id="rId12"/>
    <sheet name="GitHub Cadence" sheetId="13" r:id="rId13"/>
    <sheet name="Brunel Racing" sheetId="14" r:id="rId14"/>
    <sheet name="Tools and Account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3" l="1"/>
  <c r="G35" i="13" s="1"/>
  <c r="E34" i="13"/>
  <c r="G34" i="13" s="1"/>
  <c r="E33" i="13"/>
  <c r="G33" i="13" s="1"/>
  <c r="E32" i="13"/>
  <c r="G32" i="13" s="1"/>
  <c r="E31" i="13"/>
  <c r="G31" i="13" s="1"/>
  <c r="E30" i="13"/>
  <c r="G30" i="13" s="1"/>
  <c r="E29" i="13"/>
  <c r="G29" i="13" s="1"/>
  <c r="E28" i="13"/>
  <c r="G28" i="13" s="1"/>
  <c r="E27" i="13"/>
  <c r="G27" i="13" s="1"/>
  <c r="E26" i="13"/>
  <c r="G26" i="13" s="1"/>
  <c r="E25" i="13"/>
  <c r="G25" i="13" s="1"/>
  <c r="E24" i="13"/>
  <c r="G24" i="13" s="1"/>
  <c r="E23" i="13"/>
  <c r="G23" i="13" s="1"/>
  <c r="E22" i="13"/>
  <c r="G22" i="13" s="1"/>
  <c r="E21" i="13"/>
  <c r="G21" i="13" s="1"/>
  <c r="E20" i="13"/>
  <c r="G20" i="13" s="1"/>
  <c r="E19" i="13"/>
  <c r="G19" i="13" s="1"/>
  <c r="E18" i="13"/>
  <c r="G18" i="13" s="1"/>
  <c r="E17" i="13"/>
  <c r="G17" i="13" s="1"/>
  <c r="E16" i="13"/>
  <c r="G16" i="13" s="1"/>
  <c r="E15" i="13"/>
  <c r="G15" i="13" s="1"/>
  <c r="E14" i="13"/>
  <c r="G14" i="13" s="1"/>
  <c r="E13" i="13"/>
  <c r="G13" i="13" s="1"/>
  <c r="E12" i="13"/>
  <c r="G12" i="13" s="1"/>
  <c r="E11" i="13"/>
  <c r="G11" i="13" s="1"/>
  <c r="E10" i="13"/>
  <c r="G10" i="13" s="1"/>
  <c r="E9" i="13"/>
  <c r="G9" i="13" s="1"/>
  <c r="E8" i="13"/>
  <c r="G8" i="13" s="1"/>
  <c r="E7" i="13"/>
  <c r="G7" i="13" s="1"/>
  <c r="E6" i="13"/>
  <c r="G6" i="13" s="1"/>
  <c r="E5" i="13"/>
  <c r="G5" i="13" s="1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</calcChain>
</file>

<file path=xl/sharedStrings.xml><?xml version="1.0" encoding="utf-8"?>
<sst xmlns="http://schemas.openxmlformats.org/spreadsheetml/2006/main" count="1662" uniqueCount="764">
  <si>
    <t>ARIS — Personal Tracker</t>
  </si>
  <si>
    <t>Owner: Anass · Build window: May 4 – Aug 31, 2026 · Placement sprint: Sept – Nov 2026</t>
  </si>
  <si>
    <t>TABS IN THIS WORKBOOK</t>
  </si>
  <si>
    <t>1. Pre-Day-1 Setup — every download, account, and physical prep before May 4. Tick as you go.</t>
  </si>
  <si>
    <t>2. Daily Log — one row per day. Hours worked, what got done, blockers, mood. Fills LOG.md by exporting column D.</t>
  </si>
  <si>
    <t>3. Weekly Review — every Sunday evening, 30 min. Score the week, list wins/blockers, plan next week.</t>
  </si>
  <si>
    <t>4. Phase Milestones — 'Done means' checklist for every phase. The definition of phase complete.</t>
  </si>
  <si>
    <t>5. Success Metrics — the 5 dimensions from ARIS-SUCCESS-CRITERIA.md. Floor/Target/Stretch with live status.</t>
  </si>
  <si>
    <t>6. Tier A B C Grafts — the 2026-04-29 grafts that move the plan from 7 to 9. Tier A+B is mandatory.</t>
  </si>
  <si>
    <t>7. Applications — every placement application. Company, role, date, status, follow-up.</t>
  </si>
  <si>
    <t>8. LinkedIn Outreach — Brunel alumni at F1 firms. 30/60/90 names. Sent / replied / call booked.</t>
  </si>
  <si>
    <t>9. Mock Interviews — recorded reps. Date, question, self-score, lessons.</t>
  </si>
  <si>
    <t>10. Learning Resources — courses, books, papers. Status, hours invested, certificate y/n.</t>
  </si>
  <si>
    <t>11. Risks — risk register. Likelihood, impact, mitigation, status.</t>
  </si>
  <si>
    <t>12. GitHub Cadence — commit count per week vs target (&gt;=4/wk).</t>
  </si>
  <si>
    <t>13. Brunel Racing — engagement log. Messages sent, replies, meetings, data path.</t>
  </si>
  <si>
    <t>14. Tools and Accounts — every tool installed, account created, license status.</t>
  </si>
  <si>
    <t>RULES</t>
  </si>
  <si>
    <t>- Update Daily Log every evening before sleep. 5 minutes max.</t>
  </si>
  <si>
    <t>- Update Weekly Review every Sunday evening before the next week starts.</t>
  </si>
  <si>
    <t>- If a row is red for two consecutive weeks, the plan changes — escalate, don't endure.</t>
  </si>
  <si>
    <t>- This sheet is the single source of truth for progress. The plan docs describe intent; this sheet describes reality.</t>
  </si>
  <si>
    <t>STATUS COLOURS</t>
  </si>
  <si>
    <t>- Green (Done / On track) — task complete or floor metric cleared.</t>
  </si>
  <si>
    <t>- Yellow (In progress / At risk) — actively working OR close to floor.</t>
  </si>
  <si>
    <t>- Red (Blocked / Missed) — not happening on current trajectory; needs intervention.</t>
  </si>
  <si>
    <t>- Grey (Not started / N/A) — not begun or no longer applicable.</t>
  </si>
  <si>
    <t>QUICK LINKS (relative paths from this folder)</t>
  </si>
  <si>
    <t>- ARIS-FINAL-PLAN.md — strategic plan</t>
  </si>
  <si>
    <t>- ARIS-EXECUTION-PLAN.md — week-by-week operational plan (with Pre-Day-1 setup)</t>
  </si>
  <si>
    <t>- ARIS-SUCCESS-CRITERIA.md — what 'done' means in numbers</t>
  </si>
  <si>
    <t>- ARIS-IMPROVEMENT-SYNTHESIS.md — why the plan was revised on 2026-04-29</t>
  </si>
  <si>
    <t>- Deep Research Answers/ — the 4 AI reviewer outputs</t>
  </si>
  <si>
    <t>Pre-Day-1 Setup</t>
  </si>
  <si>
    <t>Every download, account, and physical prep. Finish by Sun May 3 evening. Day 1 = May 4.</t>
  </si>
  <si>
    <t>Category</t>
  </si>
  <si>
    <t>Item</t>
  </si>
  <si>
    <t>Where / how</t>
  </si>
  <si>
    <t>Status</t>
  </si>
  <si>
    <t>Notes</t>
  </si>
  <si>
    <t>Software</t>
  </si>
  <si>
    <t>Python 3.11 via pyenv-win</t>
  </si>
  <si>
    <t>winget install pyenv-win; pyenv install 3.11.9</t>
  </si>
  <si>
    <t>Not started</t>
  </si>
  <si>
    <t>uv (Astral)</t>
  </si>
  <si>
    <t>winget install --id=astral-sh.uv</t>
  </si>
  <si>
    <t>Faster than pip</t>
  </si>
  <si>
    <t>Git for Windows</t>
  </si>
  <si>
    <t>git-scm.com</t>
  </si>
  <si>
    <t>GitHub CLI (gh)</t>
  </si>
  <si>
    <t>winget install GitHub.cli; gh auth login</t>
  </si>
  <si>
    <t>VS Code</t>
  </si>
  <si>
    <t>code.visualstudio.com</t>
  </si>
  <si>
    <t>VS Code extensions: Python, Pylance, Ruff, Jupyter, Docker, GitLens, Mermaid, Markdown All-in-One</t>
  </si>
  <si>
    <t>Extensions panel</t>
  </si>
  <si>
    <t>Docker Desktop</t>
  </si>
  <si>
    <t>docker.com/products/docker-desktop</t>
  </si>
  <si>
    <t>NVIDIA driver (latest Game Ready / Studio)</t>
  </si>
  <si>
    <t>nvidia.com</t>
  </si>
  <si>
    <t>Verify with nvidia-smi</t>
  </si>
  <si>
    <t>CUDA Toolkit 12.x</t>
  </si>
  <si>
    <t>developer.nvidia.com/cuda-downloads</t>
  </si>
  <si>
    <t>Verify with nvcc --version</t>
  </si>
  <si>
    <t>Ollama</t>
  </si>
  <si>
    <t>ollama.com</t>
  </si>
  <si>
    <t>Llama 3.1 8B q5 model</t>
  </si>
  <si>
    <t>ollama pull llama3.1:8b-instruct-q5_K_M</t>
  </si>
  <si>
    <t>~5.5 GB</t>
  </si>
  <si>
    <t>Llama 3.2 3B fallback</t>
  </si>
  <si>
    <t>ollama pull llama3.2:3b</t>
  </si>
  <si>
    <t>If 8B is tight on VRAM</t>
  </si>
  <si>
    <t>DBeaver Community (optional)</t>
  </si>
  <si>
    <t>dbeaver.io</t>
  </si>
  <si>
    <t>Postgres GUI</t>
  </si>
  <si>
    <t>OBS Studio</t>
  </si>
  <si>
    <t>obsproject.com</t>
  </si>
  <si>
    <t>Phase 7 demo recording</t>
  </si>
  <si>
    <t>DaVinci Resolve free or CapCut</t>
  </si>
  <si>
    <t>blackmagicdesign.com</t>
  </si>
  <si>
    <t>Phase 7 video edit</t>
  </si>
  <si>
    <t>MATLAB Online or student license</t>
  </si>
  <si>
    <t>matlab.mathworks.com</t>
  </si>
  <si>
    <t>Tier B graft, Wks 11–12</t>
  </si>
  <si>
    <t>Excel / LibreOffice Calc</t>
  </si>
  <si>
    <t>Already installed</t>
  </si>
  <si>
    <t>Done</t>
  </si>
  <si>
    <t>For this tracker</t>
  </si>
  <si>
    <t>Account</t>
  </si>
  <si>
    <t>GitHub profile cleaned (NeuroSim removed)</t>
  </si>
  <si>
    <t>github.com/AnassNadeem</t>
  </si>
  <si>
    <t>Profile README rewrite</t>
  </si>
  <si>
    <t>Streamlit Community Cloud</t>
  </si>
  <si>
    <t>share.streamlit.io</t>
  </si>
  <si>
    <t>Sign in with GitHub</t>
  </si>
  <si>
    <t>Neon.tech free Postgres tier</t>
  </si>
  <si>
    <t>neon.tech</t>
  </si>
  <si>
    <t>Save connection string</t>
  </si>
  <si>
    <t>Hugging Face</t>
  </si>
  <si>
    <t>huggingface.co</t>
  </si>
  <si>
    <t>Tier C — Spaces deployment</t>
  </si>
  <si>
    <t>MathWorks</t>
  </si>
  <si>
    <t>mathworks.com</t>
  </si>
  <si>
    <t>MATLAB Online + Onramp</t>
  </si>
  <si>
    <t>Coursera (Andrew Ng + Michigan VD audit)</t>
  </si>
  <si>
    <t>coursera.org</t>
  </si>
  <si>
    <t>Audit free</t>
  </si>
  <si>
    <t>LinkedIn profile updated to ARIS framing</t>
  </si>
  <si>
    <t>linkedin.com</t>
  </si>
  <si>
    <t>Bright Network newsletter</t>
  </si>
  <si>
    <t>brightnetwork.co.uk</t>
  </si>
  <si>
    <t>F1 placement event alerts</t>
  </si>
  <si>
    <t>Anthropic Console (defer)</t>
  </si>
  <si>
    <t>console.anthropic.com</t>
  </si>
  <si>
    <t>Only for Phase 6 polish</t>
  </si>
  <si>
    <t>Groq (Tier C fallback)</t>
  </si>
  <si>
    <t>console.groq.com</t>
  </si>
  <si>
    <t>Cloud LLM fallback</t>
  </si>
  <si>
    <t>YouTube channel ready</t>
  </si>
  <si>
    <t>youtube.com</t>
  </si>
  <si>
    <t>For unlisted demo video</t>
  </si>
  <si>
    <t>Medium account</t>
  </si>
  <si>
    <t>medium.com</t>
  </si>
  <si>
    <t>Blog posts in Phases 6–7</t>
  </si>
  <si>
    <t>Physical</t>
  </si>
  <si>
    <t>Borrow Rajamani — Vehicle Dynamics and Control</t>
  </si>
  <si>
    <t>Brunel library — reserve early</t>
  </si>
  <si>
    <t>Wk5 read</t>
  </si>
  <si>
    <t>Borrow Milliken — Race Car Vehicle Dynamics</t>
  </si>
  <si>
    <t>Brunel library</t>
  </si>
  <si>
    <t>Phase 7 interview prep</t>
  </si>
  <si>
    <t>Brunel Racing contact name + role identified</t>
  </si>
  <si>
    <t>MEng friend / team page</t>
  </si>
  <si>
    <t>Day 1 WhatsApp depends on this</t>
  </si>
  <si>
    <t>Brunel Careers Service first 1:1 booked</t>
  </si>
  <si>
    <t>brunel.ac.uk/life/careers</t>
  </si>
  <si>
    <t>Sometime in May</t>
  </si>
  <si>
    <t>Mock-interview friend identified</t>
  </si>
  <si>
    <t>Personal network</t>
  </si>
  <si>
    <t>Repo</t>
  </si>
  <si>
    <t>aris repo created (public, MIT, .gitignore)</t>
  </si>
  <si>
    <t>gh repo create AnassNadeem/aris</t>
  </si>
  <si>
    <t>Empty Wk1 Day 1</t>
  </si>
  <si>
    <t>aris-matlab-validation repo created</t>
  </si>
  <si>
    <t>gh repo create</t>
  </si>
  <si>
    <t>For Tier B graft Wks 11–12</t>
  </si>
  <si>
    <t>Profile README rewritten (template in execution plan)</t>
  </si>
  <si>
    <t>github.com/AnassNadeem/AnassNadeem</t>
  </si>
  <si>
    <t>Done before first commit</t>
  </si>
  <si>
    <t>Pinned repos reordered (ARIS #1, hackathons #2-3)</t>
  </si>
  <si>
    <t>Pin from profile</t>
  </si>
  <si>
    <t>Profile photo + location London + bio set</t>
  </si>
  <si>
    <t>GitHub settings</t>
  </si>
  <si>
    <t>Cache</t>
  </si>
  <si>
    <t>FastF1 cache pre-pulled for 2023+2024 (10 races overnight)</t>
  </si>
  <si>
    <t>Python script in Pre-Day-1 §E</t>
  </si>
  <si>
    <t>Avoids Wk2 stall</t>
  </si>
  <si>
    <t>Drafts</t>
  </si>
  <si>
    <t>WhatsApp message to Brunel Racing drafted</t>
  </si>
  <si>
    <t>Plain text file, sends Day 1 morning</t>
  </si>
  <si>
    <t>From ARIS-FINAL-PLAN §4</t>
  </si>
  <si>
    <t>Leakage-test pytest scaffold drafted</t>
  </si>
  <si>
    <t>30 lines, commits Phase 2 Day 1</t>
  </si>
  <si>
    <t>Most important commit</t>
  </si>
  <si>
    <t>Daily Log</t>
  </si>
  <si>
    <t>One row per day, May 4 → Aug 31. Update every evening, 5 min max.</t>
  </si>
  <si>
    <t>Date</t>
  </si>
  <si>
    <t>Day</t>
  </si>
  <si>
    <t>Phase</t>
  </si>
  <si>
    <t>Hours</t>
  </si>
  <si>
    <t>What got done (1-2 lines, exportable to LOG.md)</t>
  </si>
  <si>
    <t>Blockers</t>
  </si>
  <si>
    <t>Mood (1-5)</t>
  </si>
  <si>
    <t>Tomorrow's first task</t>
  </si>
  <si>
    <t>Mon</t>
  </si>
  <si>
    <t>Phase 0 — Python + FastF1</t>
  </si>
  <si>
    <t>Tue</t>
  </si>
  <si>
    <t>Wed</t>
  </si>
  <si>
    <t>Thu</t>
  </si>
  <si>
    <t>Fri</t>
  </si>
  <si>
    <t>Sat</t>
  </si>
  <si>
    <t>Sun</t>
  </si>
  <si>
    <t>REST DAY (non-negotiable per plan §5)</t>
  </si>
  <si>
    <t>Phase 1 — Postgres + Streamlit</t>
  </si>
  <si>
    <t>Phase 2 — Lap-time predictor</t>
  </si>
  <si>
    <t>Phase 3 — Counterfactual</t>
  </si>
  <si>
    <t>Phase 4 — Always-on loop</t>
  </si>
  <si>
    <t>Phase 4.5 — Monte Carlo</t>
  </si>
  <si>
    <t>Phase 5 — LLM narration</t>
  </si>
  <si>
    <t>Phase 6 — Eval + demo + conformal</t>
  </si>
  <si>
    <t>Phase 7 — Apps prep</t>
  </si>
  <si>
    <t>Weekly Review</t>
  </si>
  <si>
    <t>Every Sunday evening, 30 min. Score the week. Honest, not flattering.</t>
  </si>
  <si>
    <t>Wk #</t>
  </si>
  <si>
    <t>Week of (Mon)</t>
  </si>
  <si>
    <t>Hours target</t>
  </si>
  <si>
    <t>Hours actual</t>
  </si>
  <si>
    <t>Wins (≤3)</t>
  </si>
  <si>
    <t>Blockers (≤3)</t>
  </si>
  <si>
    <t>Self-score (1-10)</t>
  </si>
  <si>
    <t>Plan for next week</t>
  </si>
  <si>
    <t>Y2 — Apps sprint</t>
  </si>
  <si>
    <t>Phase Milestones</t>
  </si>
  <si>
    <t>'Done means' from ARIS-EXECUTION-PLAN.md. Phase isn't done until every box is ticked.</t>
  </si>
  <si>
    <t>Deliverable</t>
  </si>
  <si>
    <t>Target date</t>
  </si>
  <si>
    <t>Public GitHub repo with ≥8 commits, README + screenshot</t>
  </si>
  <si>
    <t>2026-05-17</t>
  </si>
  <si>
    <t>Phase 0</t>
  </si>
  <si>
    <t>LOG.md with daily bullets</t>
  </si>
  <si>
    <t>Two notebooks committed showing FastF1 working</t>
  </si>
  <si>
    <t>WhatsApp sent (Day 1)</t>
  </si>
  <si>
    <t>2026-05-04</t>
  </si>
  <si>
    <t>Can write Python class without lookup</t>
  </si>
  <si>
    <t>Can do pandas groupby+agg+merge without lookup</t>
  </si>
  <si>
    <t>Local Postgres running via docker compose up</t>
  </si>
  <si>
    <t>2026-05-31</t>
  </si>
  <si>
    <t>Phase 1</t>
  </si>
  <si>
    <t>10+ races ingested, ≥500k telemetry rows</t>
  </si>
  <si>
    <t>Streamlit app deployed to public URL (Wk3 Day 6 — moved earlier)</t>
  </si>
  <si>
    <t>2026-05-24</t>
  </si>
  <si>
    <t>Statistical baseline (sector moving avg) shipped Wk3</t>
  </si>
  <si>
    <t>Brunel Racing hard-kill checkpoint (Wk3 Day 5 — moved earlier)</t>
  </si>
  <si>
    <t>2026-05-22</t>
  </si>
  <si>
    <t>Leakage-test pytest scaffold staged for Phase 2 Day 1</t>
  </si>
  <si>
    <t>First public LinkedIn post with URL</t>
  </si>
  <si>
    <t>tests/test_no_leakage.py committed Day 1, in CI</t>
  </si>
  <si>
    <t>2026-06-01</t>
  </si>
  <si>
    <t>Phase 2</t>
  </si>
  <si>
    <t>aris.physics.bicycle module with tests + fuel + pit-loss</t>
  </si>
  <si>
    <t>2026-06-07</t>
  </si>
  <si>
    <t>aris.physics.tires module with fit coefficients per compound</t>
  </si>
  <si>
    <t>2026-06-14</t>
  </si>
  <si>
    <t>aris.models.residual predictor with eval results in README</t>
  </si>
  <si>
    <t>2026-06-21</t>
  </si>
  <si>
    <t>Held-out MAE: floor &lt;1.0s achieved (target &lt;0.7s, stretch &lt;0.5s)</t>
  </si>
  <si>
    <t>Can derive bicycle model from Newton's 2nd law on whiteboard</t>
  </si>
  <si>
    <t>Action vocabulary documented in docs/actions.md</t>
  </si>
  <si>
    <t>2026-07-05</t>
  </si>
  <si>
    <t>Phase 3</t>
  </si>
  <si>
    <t>Counterfactual page deployed live</t>
  </si>
  <si>
    <t>Demo screenshot captured</t>
  </si>
  <si>
    <t>All public functions have type hints + docstrings</t>
  </si>
  <si>
    <t>Always-on loop runs without manual prodding</t>
  </si>
  <si>
    <t>2026-07-19</t>
  </si>
  <si>
    <t>Phase 4</t>
  </si>
  <si>
    <t>Recommendation feed visible and updating</t>
  </si>
  <si>
    <t>Tick latency documented honestly (NOT marketed as feature)</t>
  </si>
  <si>
    <t>Hero GIF in README</t>
  </si>
  <si>
    <t>Monte Carlo module with seeded reproducibility</t>
  </si>
  <si>
    <t>2026-07-23</t>
  </si>
  <si>
    <t>Phase 4.5</t>
  </si>
  <si>
    <t>Recommendations now include MC confidence intervals</t>
  </si>
  <si>
    <t>Phase 4.7 — MATLAB port</t>
  </si>
  <si>
    <t>aris-matlab-validation repo created (public, MIT)</t>
  </si>
  <si>
    <t>2026-07-26</t>
  </si>
  <si>
    <t>Phase 4.7</t>
  </si>
  <si>
    <t>Bicycle outputs agree Python ↔ MATLAB to 5% on 10 stints</t>
  </si>
  <si>
    <t>2026-08-02</t>
  </si>
  <si>
    <t>Simulink block diagram present + screenshot</t>
  </si>
  <si>
    <t>Repo pinned on GitHub profile (slot #2)</t>
  </si>
  <si>
    <t>Llama 3.1 narration working locally on GPU, &lt;2s/call</t>
  </si>
  <si>
    <t>Phase 5</t>
  </si>
  <si>
    <t>Ask ARIS pane answers grounded questions correctly</t>
  </si>
  <si>
    <t>Spot-check 20 narrations: ≤2 hallucinated numbers</t>
  </si>
  <si>
    <t>Phase 6 — Eval + conformal + demo</t>
  </si>
  <si>
    <t>Backtest results in README with conformal interval coverage</t>
  </si>
  <si>
    <t>2026-08-09</t>
  </si>
  <si>
    <t>Phase 6</t>
  </si>
  <si>
    <t>docs/strategy-backtest.md (undercut risk, SC sensitivity, pit deltas)</t>
  </si>
  <si>
    <t>Conformal calibration: empirical coverage 85-95% measured</t>
  </si>
  <si>
    <t>90-second demo video on YouTube unlisted</t>
  </si>
  <si>
    <t>2026-08-16</t>
  </si>
  <si>
    <t>Blog post #1 (technical) published</t>
  </si>
  <si>
    <t>Can answer 'how did you handle uncertainty?' in 60s</t>
  </si>
  <si>
    <t>CV (1 page) + cover letter template + 11 customised versions</t>
  </si>
  <si>
    <t>2026-08-22</t>
  </si>
  <si>
    <t>Phase 7</t>
  </si>
  <si>
    <t>30 LinkedIn alumni identified, message template ready</t>
  </si>
  <si>
    <t>10 recorded mock-interview answers reviewed</t>
  </si>
  <si>
    <t>2026-08-29</t>
  </si>
  <si>
    <t>5-min code walkthrough rehearsed without notes</t>
  </si>
  <si>
    <t>Blog post #2 (motivation/story) published</t>
  </si>
  <si>
    <t>2026-08-31</t>
  </si>
  <si>
    <t>Can describe ARIS in 30s, 90s, and 5min</t>
  </si>
  <si>
    <t>Success Metrics</t>
  </si>
  <si>
    <t>From ARIS-SUCCESS-CRITERIA.md (revised 2026-04-29). 5 dimensions × Floor / Target / Stretch.</t>
  </si>
  <si>
    <t>Dimension</t>
  </si>
  <si>
    <t>Metric</t>
  </si>
  <si>
    <t>Floor</t>
  </si>
  <si>
    <t>Target</t>
  </si>
  <si>
    <t>Stretch</t>
  </si>
  <si>
    <t>Current</t>
  </si>
  <si>
    <t>1. Technical</t>
  </si>
  <si>
    <t>Held-out lap-time MAE (point estimate)</t>
  </si>
  <si>
    <t>&lt; 1.0s</t>
  </si>
  <si>
    <t>&lt; 0.7s</t>
  </si>
  <si>
    <t>&lt; 0.5s</t>
  </si>
  <si>
    <t>—</t>
  </si>
  <si>
    <t>Conformal 90% interval coverage</t>
  </si>
  <si>
    <t>Built, measured</t>
  </si>
  <si>
    <t>85–95% empirical</t>
  </si>
  <si>
    <t>88–92% + width report</t>
  </si>
  <si>
    <t>Validated races (held-out)</t>
  </si>
  <si>
    <t>3</t>
  </si>
  <si>
    <t>5</t>
  </si>
  <si>
    <t>10+</t>
  </si>
  <si>
    <t>Race-by-race CV harness + leakage test</t>
  </si>
  <si>
    <t>Day 1 of Phase 2</t>
  </si>
  <si>
    <t>+ CI test</t>
  </si>
  <si>
    <t>+ negative control</t>
  </si>
  <si>
    <t>Always-on loop tick latency</t>
  </si>
  <si>
    <t>&lt; 15s</t>
  </si>
  <si>
    <t>&lt; 5s</t>
  </si>
  <si>
    <t>&lt; 2s</t>
  </si>
  <si>
    <t>Counterfactual action types</t>
  </si>
  <si>
    <t>1</t>
  </si>
  <si>
    <t>5 + chains</t>
  </si>
  <si>
    <t>Monte Carlo samples in &lt;5s</t>
  </si>
  <si>
    <t>100</t>
  </si>
  <si>
    <t>1000</t>
  </si>
  <si>
    <t>10000</t>
  </si>
  <si>
    <t>Recommendation hit rate</t>
  </si>
  <si>
    <t>&gt; 50%</t>
  </si>
  <si>
    <t>&gt; 65%</t>
  </si>
  <si>
    <t>&gt; 75%</t>
  </si>
  <si>
    <t>LLM narration accuracy (no hallucinated numbers)</t>
  </si>
  <si>
    <t>≤2 wrong / 20</t>
  </si>
  <si>
    <t>≤2 / 50</t>
  </si>
  <si>
    <t>0 with structured output</t>
  </si>
  <si>
    <t>Tiered ticks working</t>
  </si>
  <si>
    <t>Tier 1 + 3</t>
  </si>
  <si>
    <t>All 3 + event</t>
  </si>
  <si>
    <t>All + sub-400ms event</t>
  </si>
  <si>
    <t>Competitor pivot triggers</t>
  </si>
  <si>
    <t>1 example</t>
  </si>
  <si>
    <t>3 examples</t>
  </si>
  <si>
    <t>5+ + auto-flag</t>
  </si>
  <si>
    <t>Ask ARIS grounded answers</t>
  </si>
  <si>
    <t>15/20</t>
  </si>
  <si>
    <t>18/20</t>
  </si>
  <si>
    <t>20/20</t>
  </si>
  <si>
    <t>MATLAB/Simulink validation artefact</t>
  </si>
  <si>
    <t>Bicycle ports, 5% match</t>
  </si>
  <si>
    <t>+ Simulink + repo</t>
  </si>
  <si>
    <t>+ stint cross-validated</t>
  </si>
  <si>
    <t>Backtest report in strategy language</t>
  </si>
  <si>
    <t>1 page PDF</t>
  </si>
  <si>
    <t>Multi-page tied to 5 races</t>
  </si>
  <si>
    <t>+ recruiter exec summary</t>
  </si>
  <si>
    <t>2. Career</t>
  </si>
  <si>
    <t>Placement applications submitted</t>
  </si>
  <si>
    <t>8</t>
  </si>
  <si>
    <t>15</t>
  </si>
  <si>
    <t>25+</t>
  </si>
  <si>
    <t>First-stage interviews</t>
  </si>
  <si>
    <t>2</t>
  </si>
  <si>
    <t>Final-stage interviews</t>
  </si>
  <si>
    <t>5+</t>
  </si>
  <si>
    <t>Placement offer received</t>
  </si>
  <si>
    <t>0 (pipeline healthy)</t>
  </si>
  <si>
    <t>2+</t>
  </si>
  <si>
    <t>LinkedIn alumni messages sent</t>
  </si>
  <si>
    <t>30</t>
  </si>
  <si>
    <t>60</t>
  </si>
  <si>
    <t>90+</t>
  </si>
  <si>
    <t>LinkedIn alumni replies</t>
  </si>
  <si>
    <t>12</t>
  </si>
  <si>
    <t>20+</t>
  </si>
  <si>
    <t>Brunel Careers 1:1 sessions</t>
  </si>
  <si>
    <t>Mock interviews completed</t>
  </si>
  <si>
    <t>10</t>
  </si>
  <si>
    <t>15+</t>
  </si>
  <si>
    <t>Recognised courses (audit or cert)</t>
  </si>
  <si>
    <t>1 (MATLAB Onramp)</t>
  </si>
  <si>
    <t>4+ inc. paid cert</t>
  </si>
  <si>
    <t>3. Process</t>
  </si>
  <si>
    <t>Can derive bicycle model on whiteboard</t>
  </si>
  <si>
    <t>Done from memory ≤10 min</t>
  </si>
  <si>
    <t>Can explain XGBoost vs MLP choice</t>
  </si>
  <si>
    <t>1-paragraph reasoned answer</t>
  </si>
  <si>
    <t>Can walk through any src/aris/ file</t>
  </si>
  <si>
    <t>No 'I'd have to look that up'</t>
  </si>
  <si>
    <t>Can name 3 limitations unprompted</t>
  </si>
  <si>
    <t>All 3 real</t>
  </si>
  <si>
    <t>Re-derive Phase 2 results on fresh checkout</t>
  </si>
  <si>
    <t>Runs end-to-end Aug 25</t>
  </si>
  <si>
    <t>Wrote ≥30% of total LOC by hand</t>
  </si>
  <si>
    <t>Honest self-check</t>
  </si>
  <si>
    <t>4. Artefact</t>
  </si>
  <si>
    <t>GitHub profile cleaned (NeuroSim purged)</t>
  </si>
  <si>
    <t>Done before Day 1</t>
  </si>
  <si>
    <t>All 4 dashboard modes shipped</t>
  </si>
  <si>
    <t>Yes</t>
  </si>
  <si>
    <t>README pitch in first 3 lines</t>
  </si>
  <si>
    <t>Hero GIF / screenshot above fold</t>
  </si>
  <si>
    <t>1-command install + run</t>
  </si>
  <si>
    <t>docker compose up &amp;&amp; streamlit run</t>
  </si>
  <si>
    <t>Live URL works on phone (mobile network)</t>
  </si>
  <si>
    <t>90-second demo video on YouTube</t>
  </si>
  <si>
    <t>Repo ≥80 commits</t>
  </si>
  <si>
    <t>Yes (~5/wk)</t>
  </si>
  <si>
    <t>≥2 blog posts published</t>
  </si>
  <si>
    <t>1 technical + 1 motivation</t>
  </si>
  <si>
    <t>≥5 LinkedIn posts during build</t>
  </si>
  <si>
    <t>Code passes ruff + pytest</t>
  </si>
  <si>
    <t>5. Brunel Racing (bonus)</t>
  </si>
  <si>
    <t>Replied to WhatsApp</t>
  </si>
  <si>
    <t>+1</t>
  </si>
  <si>
    <t>Got a meeting/call</t>
  </si>
  <si>
    <t>+2</t>
  </si>
  <si>
    <t>Test-day telemetry access</t>
  </si>
  <si>
    <t>+3</t>
  </si>
  <si>
    <t>Ran ARIS on their data, showed back</t>
  </si>
  <si>
    <t>+5</t>
  </si>
  <si>
    <t>Team adopted any part of ARIS</t>
  </si>
  <si>
    <t>+8</t>
  </si>
  <si>
    <t>Tier A / B / C Grafts (the 7→9 score lift)</t>
  </si>
  <si>
    <t>From ARIS-IMPROVEMENT-SYNTHESIS.md. Tier A+B mandatory. Tier C only after A+B is locked.</t>
  </si>
  <si>
    <t>Tier</t>
  </si>
  <si>
    <t>Graft</t>
  </si>
  <si>
    <t>Effort</t>
  </si>
  <si>
    <t>When</t>
  </si>
  <si>
    <t>Why</t>
  </si>
  <si>
    <t>A</t>
  </si>
  <si>
    <t>Recalibrate MAE (floor &lt;1.0s, target &lt;0.7s, stretch &lt;0.5s)</t>
  </si>
  <si>
    <t>Pre-Day-1</t>
  </si>
  <si>
    <t>Calibrating below silent baseline = credible</t>
  </si>
  <si>
    <t>Reframe CV target → Software Engineer (Performance/Strategy Tools)</t>
  </si>
  <si>
    <t>Software path is documented; Race Strategy at Y2 is gated to 1 role</t>
  </si>
  <si>
    <t>1 hour</t>
  </si>
  <si>
    <t>Pre-Day-1 (May 3)</t>
  </si>
  <si>
    <t>First impression / ARIS becomes pinned signal</t>
  </si>
  <si>
    <t>Brunel Racing severed as dependency, kept as upside</t>
  </si>
  <si>
    <t>Plan edit</t>
  </si>
  <si>
    <t>6-week dependency was fatal per Gemini</t>
  </si>
  <si>
    <t>Brunel hard kill moves Wk6 → Wk3 Day 5</t>
  </si>
  <si>
    <t>Same</t>
  </si>
  <si>
    <t>Physics positioning: 'lightweight + interpretable + LLM-narrated'</t>
  </si>
  <si>
    <t>README edit</t>
  </si>
  <si>
    <t>Don't invite TUMFTM/multi-body comparison</t>
  </si>
  <si>
    <t>Stop marketing 5s tick latency</t>
  </si>
  <si>
    <t>Real F1 sub-second; 5s is footgun if marketed</t>
  </si>
  <si>
    <t>B</t>
  </si>
  <si>
    <t>Conformal prediction calibration (Phase 6)</t>
  </si>
  <si>
    <t>~2 days</t>
  </si>
  <si>
    <t>Wk14</t>
  </si>
  <si>
    <t>Single highest-leverage technical addition</t>
  </si>
  <si>
    <t>Race-by-race CV + leakage test, Day 1 of Phase 2</t>
  </si>
  <si>
    <t>30 lines</t>
  </si>
  <si>
    <t>Phase 2 Day 1</t>
  </si>
  <si>
    <t>#1 risk per Claude — leakage destroys MAE credibility</t>
  </si>
  <si>
    <t>MATLAB/Simulink port of bicycle module (separate repo)</t>
  </si>
  <si>
    <t>~1 week</t>
  </si>
  <si>
    <t>Wks 11–12 evenings</t>
  </si>
  <si>
    <t>Closes Mercedes HPP / RB Powertrains 'good to have'</t>
  </si>
  <si>
    <t>Phase 1 cloud deploy moves Wk4 → Wk3</t>
  </si>
  <si>
    <t>Wk3</t>
  </si>
  <si>
    <t>Recovers a week for Phase 2 leakage debug</t>
  </si>
  <si>
    <t>Statistical baseline by Wk2 (moving avg sector times)</t>
  </si>
  <si>
    <t>Wk2</t>
  </si>
  <si>
    <t>Lets dashboard ship before ML lands</t>
  </si>
  <si>
    <t>Pit-stop logic + linear fuel-burn term in physics layer</t>
  </si>
  <si>
    <t>Wk5</t>
  </si>
  <si>
    <t>Widens scope to F1-strategy-reviewer expectation</t>
  </si>
  <si>
    <t>Backtest report in strategy language (docs/strategy-backtest.md)</t>
  </si>
  <si>
    <t>1 day</t>
  </si>
  <si>
    <t>Different language for different audience</t>
  </si>
  <si>
    <t>C</t>
  </si>
  <si>
    <t>Hugging Face Spaces deployment</t>
  </si>
  <si>
    <t>Wk16 if locked</t>
  </si>
  <si>
    <t>Free CV signal</t>
  </si>
  <si>
    <t>Llama 3.2 3B fallback if 8B is tight on VRAM</t>
  </si>
  <si>
    <t>4 hrs</t>
  </si>
  <si>
    <t>Wk13</t>
  </si>
  <si>
    <t>Mitigates Gemini's OOM risk</t>
  </si>
  <si>
    <t>Groq free tier as cloud LLM fallback</t>
  </si>
  <si>
    <t>2 hrs</t>
  </si>
  <si>
    <t>Removes Ollama as SPOF</t>
  </si>
  <si>
    <t>pybind11 C++ Monte Carlo inner loop</t>
  </si>
  <si>
    <t>3–4 days</t>
  </si>
  <si>
    <t>Y2 only if needed</t>
  </si>
  <si>
    <t>Don't pre-optimise</t>
  </si>
  <si>
    <t>1× LeetCode-easy block per week</t>
  </si>
  <si>
    <t>2 hrs/wk</t>
  </si>
  <si>
    <t>Throughout</t>
  </si>
  <si>
    <t>Software placement screens are auto-graded</t>
  </si>
  <si>
    <t>5 canonical strategy interview questions drilled</t>
  </si>
  <si>
    <t>5×30 min</t>
  </si>
  <si>
    <t>Wks 16–17</t>
  </si>
  <si>
    <t>Bernie Collins canonical set</t>
  </si>
  <si>
    <t>Public Kaggle/HF dataset of FastF1 backtest task</t>
  </si>
  <si>
    <t>Y2</t>
  </si>
  <si>
    <t>Own the benchmark</t>
  </si>
  <si>
    <t>Brunel Racing in-person test-day visit</t>
  </si>
  <si>
    <t>Wk8 or Wk9</t>
  </si>
  <si>
    <t>Public viewing — they don't have to invite you</t>
  </si>
  <si>
    <t>Toastmasters / mock-interview reps for English fluency</t>
  </si>
  <si>
    <t>Cadence not vocabulary</t>
  </si>
  <si>
    <t>Submit to AIcrowd / Kaggle motorsport competitions</t>
  </si>
  <si>
    <t>Varies</t>
  </si>
  <si>
    <t>Blog post #3 on conformal prediction in F1 strategy</t>
  </si>
  <si>
    <t>Niche-defining</t>
  </si>
  <si>
    <t>Placement Applications</t>
  </si>
  <si>
    <t>Target: 15 submitted by Nov 30, 2026. 8 floor / 25+ stretch.</t>
  </si>
  <si>
    <t>#</t>
  </si>
  <si>
    <t>Company</t>
  </si>
  <si>
    <t>Role</t>
  </si>
  <si>
    <t>Date submitted</t>
  </si>
  <si>
    <t>Portal / link</t>
  </si>
  <si>
    <t>Last action</t>
  </si>
  <si>
    <t>Next action</t>
  </si>
  <si>
    <t>McLaren</t>
  </si>
  <si>
    <t>Engineering Placement (Software / Vehicle Performance)</t>
  </si>
  <si>
    <t>Williams</t>
  </si>
  <si>
    <t>Vehicle Engineering Industrial Placement</t>
  </si>
  <si>
    <t>Technology &amp; Innovation Industrial Placement</t>
  </si>
  <si>
    <t>Vehicle Performance Software placement</t>
  </si>
  <si>
    <t>Red Bull Racing</t>
  </si>
  <si>
    <t>Industrial Student Placement (Software)</t>
  </si>
  <si>
    <t>Race Strategy Student Placement (long-shot stretch)</t>
  </si>
  <si>
    <t>Red Bull Powertrains</t>
  </si>
  <si>
    <t>Industrial Placement (Software/Controls)</t>
  </si>
  <si>
    <t>Mercedes AMG HPP</t>
  </si>
  <si>
    <t>Software &amp; Controls 12-Month Placement</t>
  </si>
  <si>
    <t>Engineering Placement 2027</t>
  </si>
  <si>
    <t>Mercedes Petronas F1</t>
  </si>
  <si>
    <t>Software Engineering Placement</t>
  </si>
  <si>
    <t>Aston Martin F1</t>
  </si>
  <si>
    <t>Software Placement</t>
  </si>
  <si>
    <t>Aston Martin Performance Technologies (AMPT)</t>
  </si>
  <si>
    <t>Vehicle Performance Software</t>
  </si>
  <si>
    <t>Alpine F1</t>
  </si>
  <si>
    <t>Software / Strategy Placement</t>
  </si>
  <si>
    <t>M-Sport</t>
  </si>
  <si>
    <t>Engineering / Software Placement</t>
  </si>
  <si>
    <t>Williams Advanced Engineering</t>
  </si>
  <si>
    <t>Red Bull Advanced Technologies</t>
  </si>
  <si>
    <t>AP Racing</t>
  </si>
  <si>
    <t>Engineering Placement</t>
  </si>
  <si>
    <t>Stray Systems</t>
  </si>
  <si>
    <t>Bentley Motors</t>
  </si>
  <si>
    <t>Vehicle Performance Placement</t>
  </si>
  <si>
    <t>Cosworth</t>
  </si>
  <si>
    <t>M-Sport (rally-adjacent)</t>
  </si>
  <si>
    <t>Cadillac F1 (new entry)</t>
  </si>
  <si>
    <t>LinkedIn Outreach</t>
  </si>
  <si>
    <t>Brunel alumni at F1/motorsport firms. Floor 30 / Target 60 / Stretch 90. 3 messages/week (Mon/Wed/Fri).</t>
  </si>
  <si>
    <t>Name</t>
  </si>
  <si>
    <t>Brunel link</t>
  </si>
  <si>
    <t>Date contacted</t>
  </si>
  <si>
    <t>Replied?</t>
  </si>
  <si>
    <t>Mock Interviews</t>
  </si>
  <si>
    <t>Floor 5 / Target 10 / Stretch 15+. Record on phone, watch back, cringe, re-do.</t>
  </si>
  <si>
    <t>Question / topic</t>
  </si>
  <si>
    <t>Lesson / what to fix</t>
  </si>
  <si>
    <t>Re-recorded?</t>
  </si>
  <si>
    <t>Walk me through a pit stop from a strategy perspective</t>
  </si>
  <si>
    <t>Why is undercut faster than overcut sometimes?</t>
  </si>
  <si>
    <t>Explain gap-to-leader vs gap-to-car-ahead in strategic terms</t>
  </si>
  <si>
    <t>1-stop vs 2-stop in changing weather — how do you decide?</t>
  </si>
  <si>
    <t>Describe a time you used data to defend a decision under pressure</t>
  </si>
  <si>
    <t>Walk me through ARIS in 30 seconds</t>
  </si>
  <si>
    <t>Walk me through ARIS in 5 minutes</t>
  </si>
  <si>
    <t>How did you handle uncertainty? (conformal prediction)</t>
  </si>
  <si>
    <t>Why physics+residual vs pure ML?</t>
  </si>
  <si>
    <t>What are the limitations of ARIS?</t>
  </si>
  <si>
    <t>Why XGBoost over a sequence model?</t>
  </si>
  <si>
    <t>Derive the bicycle model from Newton's 2nd law</t>
  </si>
  <si>
    <t>Why is this not a world model?</t>
  </si>
  <si>
    <t>Why no reinforcement learning?</t>
  </si>
  <si>
    <t>How would you handle real-time telemetry at 1ms latency?</t>
  </si>
  <si>
    <t>Learning Resources</t>
  </si>
  <si>
    <t>Courses, books, papers. Status / hours invested / cert? Drop the course not the build.</t>
  </si>
  <si>
    <t>Resource</t>
  </si>
  <si>
    <t>Type</t>
  </si>
  <si>
    <t>Why (which gap it fills)</t>
  </si>
  <si>
    <t>CS50P (Harvard Python)</t>
  </si>
  <si>
    <t>Course</t>
  </si>
  <si>
    <t>Phase 0 Python foundations</t>
  </si>
  <si>
    <t>Boot.dev — Learn Python</t>
  </si>
  <si>
    <t>Phase 0 alt</t>
  </si>
  <si>
    <t>James Powell — Pandas From The Ground Up</t>
  </si>
  <si>
    <t>Tutorial</t>
  </si>
  <si>
    <t>Phase 0 pandas</t>
  </si>
  <si>
    <t>Kaggle — Pandas micro-course</t>
  </si>
  <si>
    <t>Phase 0 pandas exercises</t>
  </si>
  <si>
    <t>FastF1 official docs</t>
  </si>
  <si>
    <t>Docs</t>
  </si>
  <si>
    <t>Phase 0 ingest</t>
  </si>
  <si>
    <t>SQLBolt</t>
  </si>
  <si>
    <t>Phase 1 SQL</t>
  </si>
  <si>
    <t>PostgreSQL Tutorial — sections 1–5</t>
  </si>
  <si>
    <t>Phase 1 Postgres</t>
  </si>
  <si>
    <t>Streamlit 30 Days</t>
  </si>
  <si>
    <t>Phase 1 Streamlit</t>
  </si>
  <si>
    <t>SQLAlchemy 2.0 Unified Tutorial 1–6</t>
  </si>
  <si>
    <t>Phase 1 ORM</t>
  </si>
  <si>
    <t>Rajamani — Vehicle Dynamics Ch.2</t>
  </si>
  <si>
    <t>Book (library)</t>
  </si>
  <si>
    <t>Phase 2 bicycle model</t>
  </si>
  <si>
    <t>Pacejka Wikipedia + simplified form</t>
  </si>
  <si>
    <t>Reference</t>
  </si>
  <si>
    <t>Phase 2 tire model</t>
  </si>
  <si>
    <t>scikit-learn user guide §1.1, 3.1, 3.3</t>
  </si>
  <si>
    <t>Phase 2 ML basics</t>
  </si>
  <si>
    <t>XGBoost Python tutorial</t>
  </si>
  <si>
    <t>Phase 2 residual</t>
  </si>
  <si>
    <t>PyTorch — Learn the Basics</t>
  </si>
  <si>
    <t>Phase 2 MLP</t>
  </si>
  <si>
    <t>Frontiers 2025 — Deep learning for F1 pit stops</t>
  </si>
  <si>
    <t>Paper</t>
  </si>
  <si>
    <t>Phase 2 reference</t>
  </si>
  <si>
    <t>TUM race-simulation README + racesim_basic</t>
  </si>
  <si>
    <t>Code</t>
  </si>
  <si>
    <t>Wk5 reference</t>
  </si>
  <si>
    <t>RealPython type hints</t>
  </si>
  <si>
    <t>Phase 3 API design</t>
  </si>
  <si>
    <t>Pydantic v2 docs</t>
  </si>
  <si>
    <t>Phase 3 actions</t>
  </si>
  <si>
    <t>RealPython async IO walkthrough</t>
  </si>
  <si>
    <t>Phase 4 loop</t>
  </si>
  <si>
    <t>Brandon Foltz — Monte Carlo intuition</t>
  </si>
  <si>
    <t>Video</t>
  </si>
  <si>
    <t>Phase 4.5 MC</t>
  </si>
  <si>
    <t>MATLAB Onramp (free, MathWorks)</t>
  </si>
  <si>
    <t>Tier B graft + CV line</t>
  </si>
  <si>
    <t>Simulink Onramp (free, MathWorks)</t>
  </si>
  <si>
    <t>Tier B graft</t>
  </si>
  <si>
    <t>MATLAB for Data Processing &amp; Visualization</t>
  </si>
  <si>
    <t>MATLAB CV line</t>
  </si>
  <si>
    <t>Andrew Ng ML Specialization (audit)</t>
  </si>
  <si>
    <t>Theory + ML CV line</t>
  </si>
  <si>
    <t>Michigan Vehicle Dynamics specialisation (audit)</t>
  </si>
  <si>
    <t>Vehicle dynamics CV line</t>
  </si>
  <si>
    <t>MIT 6.86x ML with Python (audit, optional)</t>
  </si>
  <si>
    <t>Alt to Andrew Ng</t>
  </si>
  <si>
    <t>Anastasios Angelopoulos — Conformal Prediction (Gentle Intro)</t>
  </si>
  <si>
    <t>Phase 6 conformal</t>
  </si>
  <si>
    <t>mapie Python library docs</t>
  </si>
  <si>
    <t>Phase 6 conformal impl</t>
  </si>
  <si>
    <t>Anthropic — Prompt Engineering Overview</t>
  </si>
  <si>
    <t>Phase 5 LLM</t>
  </si>
  <si>
    <t>Milliken — Race Car Vehicle Dynamics (library, ref)</t>
  </si>
  <si>
    <t>NeetCode 150 — easy section</t>
  </si>
  <si>
    <t>Tier C — Software interview screens</t>
  </si>
  <si>
    <t>Bernie Collins — How to Win a Grand Prix</t>
  </si>
  <si>
    <t>Book</t>
  </si>
  <si>
    <t>Tier C — strategy interview prep</t>
  </si>
  <si>
    <t>Atlassian Git tutorials (branches, merge, rebase)</t>
  </si>
  <si>
    <t>Phase 0 Git</t>
  </si>
  <si>
    <t>MIT OCW 18.06 Linear Algebra (no cert)</t>
  </si>
  <si>
    <t>Foundation, optional</t>
  </si>
  <si>
    <t>Risk Register</t>
  </si>
  <si>
    <t>Live risk tracking. Mitigation, owner, status. Update weekly.</t>
  </si>
  <si>
    <t>Risk</t>
  </si>
  <si>
    <t>Likelihood (1-5)</t>
  </si>
  <si>
    <t>Impact (1-5)</t>
  </si>
  <si>
    <t>Score</t>
  </si>
  <si>
    <t>Mitigation</t>
  </si>
  <si>
    <t>Train/test leakage in Phase 2 produces inflated MAE</t>
  </si>
  <si>
    <t>Race-by-race CV harness + leakage unit test committed Day 1 of Phase 2</t>
  </si>
  <si>
    <t>Open</t>
  </si>
  <si>
    <t>FastF1 cache failures / API rate limits stall Wk1–2</t>
  </si>
  <si>
    <t>Pre-pull cache overnight May 3; budget a full debug day Wk2</t>
  </si>
  <si>
    <t>Postgres on Windows via Docker breaks (volumes/networking)</t>
  </si>
  <si>
    <t>Stick to Postgres 16 base, named volumes not bind mounts, no extensions</t>
  </si>
  <si>
    <t>Streamlit cold-start makes Neon free tier feel broken</t>
  </si>
  <si>
    <t>5-min keepalive ping via GitHub Action</t>
  </si>
  <si>
    <t>Llama 3.1 8B + XGBoost + Streamlit OOMs on 8GB VRAM</t>
  </si>
  <si>
    <t>Tier C: Llama 3.2 3B fallback, Groq cloud fallback</t>
  </si>
  <si>
    <t>Phase 2 lap-time MAE &gt; 1.5s on held-out</t>
  </si>
  <si>
    <t>Drop residual MLP, ship physics-only with conformal intervals; honest is better than over-claim</t>
  </si>
  <si>
    <t>Phase 4 tick latency cannot hit 5s</t>
  </si>
  <si>
    <t>Loosen to 15s, document tradeoff; do not sink a week on pre-optimisation</t>
  </si>
  <si>
    <t>Brunel Racing never replies / no data</t>
  </si>
  <si>
    <t>Severed as dependency Wk3 Day 5; story pivots to held-out FastF1 + sim telemetry</t>
  </si>
  <si>
    <t>English fluency under interview pressure</t>
  </si>
  <si>
    <t>Tier C Toastmasters reps; record mocks; address directly in cover letter</t>
  </si>
  <si>
    <t>F1 hiring contraction (budget cap effects)</t>
  </si>
  <si>
    <t>Apply F1-adjacent: M-Sport, Cosworth, Bentley, Williams Advanced Engineering</t>
  </si>
  <si>
    <t>Project feels generic vs other FastF1 visualisers</t>
  </si>
  <si>
    <t>Lead with conformal-calibrated counterfactuals + LLM narration — unbuilt elsewhere</t>
  </si>
  <si>
    <t>Course-collecting eats build time</t>
  </si>
  <si>
    <t>Drop the course not the build; audit-only; max 3 courses parallel</t>
  </si>
  <si>
    <t>Demo video takes &gt;5 days to record</t>
  </si>
  <si>
    <t>Ship 60-second version if 90s blocks; done &gt; perfect</t>
  </si>
  <si>
    <t>GitHub graph stays sparse despite plan</t>
  </si>
  <si>
    <t>Daily commits including learning notebooks; weekly review checks count</t>
  </si>
  <si>
    <t>Health / personal crisis</t>
  </si>
  <si>
    <t>Buffer weeks at end; keep Brunel adviser updated; cut scope not deadline</t>
  </si>
  <si>
    <t>Over-claiming on README damages credibility</t>
  </si>
  <si>
    <t>Calibrated targets (&lt;1.0/&lt;0.7/&lt;0.5); conformal intervals; honest backtest</t>
  </si>
  <si>
    <t>Wrong target role (Race Strategy vs Software)</t>
  </si>
  <si>
    <t>Reframed Pre-Day-1 to Software Engineer (Performance/Strategy Tools)</t>
  </si>
  <si>
    <t>Hardware/CAN issues on Brunel Racing data delay ML</t>
  </si>
  <si>
    <t>Fixed by Wk3 Day 5 kill; not waiting 6 weeks</t>
  </si>
  <si>
    <t>GitHub Cadence</t>
  </si>
  <si>
    <t>Target ≥4 commits/week (Mon–Sat counts; Sunday off). ARIS repo + MATLAB validation repo combined.</t>
  </si>
  <si>
    <t>Commits ARIS</t>
  </si>
  <si>
    <t>Commits MATLAB</t>
  </si>
  <si>
    <t>Total</t>
  </si>
  <si>
    <t>Hit?</t>
  </si>
  <si>
    <t>Brunel Racing engagement log</t>
  </si>
  <si>
    <t>Severed as dependency Wk3 Day 5. Kept as upside. Update on every interaction.</t>
  </si>
  <si>
    <t>Channel</t>
  </si>
  <si>
    <t>Interaction (sent / received / met)</t>
  </si>
  <si>
    <t>Outcome</t>
  </si>
  <si>
    <t>Next step</t>
  </si>
  <si>
    <t>WhatsApp</t>
  </si>
  <si>
    <t>First message sent (template from ARIS-FINAL-PLAN §4)</t>
  </si>
  <si>
    <t>Wait 7 days</t>
  </si>
  <si>
    <t>(One polite follow-up if no reply by 2026-05-11)</t>
  </si>
  <si>
    <t>Decision</t>
  </si>
  <si>
    <t>Wk3 Day 5 hard-kill checkpoint — keep as upside or drop</t>
  </si>
  <si>
    <t>Tools and Accounts (live register)</t>
  </si>
  <si>
    <t>Every tool installed, account created, license/expiry. Quick reference when something breaks.</t>
  </si>
  <si>
    <t>Tool / account</t>
  </si>
  <si>
    <t>Username / handle</t>
  </si>
  <si>
    <t>Expiry / cost</t>
  </si>
  <si>
    <t>GitHub</t>
  </si>
  <si>
    <t>AnassNadeem</t>
  </si>
  <si>
    <t>Free</t>
  </si>
  <si>
    <t>Active</t>
  </si>
  <si>
    <t>Profile cleaned pre-Day-1</t>
  </si>
  <si>
    <t>(via GitHub)</t>
  </si>
  <si>
    <t>Set up pre-Day-1</t>
  </si>
  <si>
    <t>Neon.tech Postgres</t>
  </si>
  <si>
    <t>Free 3GB</t>
  </si>
  <si>
    <t>Connection string in .env</t>
  </si>
  <si>
    <t>Tier C — Spaces</t>
  </si>
  <si>
    <t>Coursera</t>
  </si>
  <si>
    <t>Free audit</t>
  </si>
  <si>
    <t>Andrew Ng + Michigan VD</t>
  </si>
  <si>
    <t>Free Online</t>
  </si>
  <si>
    <t>MATLAB + Onramp</t>
  </si>
  <si>
    <t>Anthropic Console</t>
  </si>
  <si>
    <t>Pay-as-you-go</t>
  </si>
  <si>
    <t>Defer</t>
  </si>
  <si>
    <t>Phase 6 polish only</t>
  </si>
  <si>
    <t>Groq</t>
  </si>
  <si>
    <t>Free tier</t>
  </si>
  <si>
    <t>Tier C fallback</t>
  </si>
  <si>
    <t>Bright Network</t>
  </si>
  <si>
    <t>LinkedIn</t>
  </si>
  <si>
    <t>Profile updated to ARIS framing</t>
  </si>
  <si>
    <t>Medium</t>
  </si>
  <si>
    <t>Blog posts</t>
  </si>
  <si>
    <t>YouTube</t>
  </si>
  <si>
    <t>Unlisted demo video</t>
  </si>
  <si>
    <t>Tool</t>
  </si>
  <si>
    <t>Local LLM</t>
  </si>
  <si>
    <t>Free for personal</t>
  </si>
  <si>
    <t>CUDA Toolkit</t>
  </si>
  <si>
    <t>12.x</t>
  </si>
  <si>
    <t>MATLAB Online</t>
  </si>
  <si>
    <t>Or student license via Brunel</t>
  </si>
  <si>
    <t>DaVinci Resolve free</t>
  </si>
  <si>
    <t>Brunel library — Rajamani</t>
  </si>
  <si>
    <t>Loan</t>
  </si>
  <si>
    <t>Reserve early</t>
  </si>
  <si>
    <t>Brunel library — Milliken</t>
  </si>
  <si>
    <t>Brunel Careers Service 1:1</t>
  </si>
  <si>
    <t>Service</t>
  </si>
  <si>
    <t>Book ≥3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</si>
</sst>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20"/>
      <color rgb="FF1F4E78"/>
      <name val="Calibri"/>
    </font>
    <font>
      <i/>
      <sz val="11"/>
      <name val="Calibri"/>
    </font>
    <font>
      <b/>
      <sz val="12"/>
      <color rgb="FF1F4E78"/>
      <name val="Calibri"/>
    </font>
    <font>
      <b/>
      <sz val="16"/>
      <color rgb="FF1F4E78"/>
      <name val="Calibri"/>
    </font>
    <font>
      <i/>
      <sz val="9"/>
      <color rgb="FF59595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0" fontId="5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31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opLeftCell="A35" workbookViewId="0">
      <selection activeCell="A11" sqref="A11"/>
    </sheetView>
  </sheetViews>
  <sheetFormatPr defaultRowHeight="14.25" x14ac:dyDescent="0.45"/>
  <cols>
    <col min="1" max="1" width="120" customWidth="1"/>
  </cols>
  <sheetData>
    <row r="1" spans="1:1" ht="25.5" x14ac:dyDescent="0.75">
      <c r="A1" s="1" t="s">
        <v>0</v>
      </c>
    </row>
    <row r="2" spans="1:1" x14ac:dyDescent="0.45">
      <c r="A2" s="2" t="s">
        <v>1</v>
      </c>
    </row>
    <row r="4" spans="1:1" x14ac:dyDescent="0.45">
      <c r="A4" s="3"/>
    </row>
    <row r="5" spans="1:1" ht="15.75" x14ac:dyDescent="0.45">
      <c r="A5" s="4" t="s">
        <v>2</v>
      </c>
    </row>
    <row r="6" spans="1:1" x14ac:dyDescent="0.45">
      <c r="A6" s="3"/>
    </row>
    <row r="7" spans="1:1" x14ac:dyDescent="0.45">
      <c r="A7" s="3" t="s">
        <v>3</v>
      </c>
    </row>
    <row r="8" spans="1:1" x14ac:dyDescent="0.45">
      <c r="A8" s="3" t="s">
        <v>4</v>
      </c>
    </row>
    <row r="9" spans="1:1" x14ac:dyDescent="0.45">
      <c r="A9" s="3" t="s">
        <v>5</v>
      </c>
    </row>
    <row r="10" spans="1:1" x14ac:dyDescent="0.45">
      <c r="A10" s="3" t="s">
        <v>6</v>
      </c>
    </row>
    <row r="11" spans="1:1" x14ac:dyDescent="0.45">
      <c r="A11" s="3" t="s">
        <v>7</v>
      </c>
    </row>
    <row r="12" spans="1:1" x14ac:dyDescent="0.45">
      <c r="A12" s="3" t="s">
        <v>8</v>
      </c>
    </row>
    <row r="13" spans="1:1" x14ac:dyDescent="0.45">
      <c r="A13" s="3" t="s">
        <v>9</v>
      </c>
    </row>
    <row r="14" spans="1:1" x14ac:dyDescent="0.45">
      <c r="A14" s="3" t="s">
        <v>10</v>
      </c>
    </row>
    <row r="15" spans="1:1" x14ac:dyDescent="0.45">
      <c r="A15" s="3" t="s">
        <v>11</v>
      </c>
    </row>
    <row r="16" spans="1:1" x14ac:dyDescent="0.45">
      <c r="A16" s="3" t="s">
        <v>12</v>
      </c>
    </row>
    <row r="17" spans="1:1" x14ac:dyDescent="0.45">
      <c r="A17" s="3" t="s">
        <v>13</v>
      </c>
    </row>
    <row r="18" spans="1:1" x14ac:dyDescent="0.45">
      <c r="A18" s="3" t="s">
        <v>14</v>
      </c>
    </row>
    <row r="19" spans="1:1" x14ac:dyDescent="0.45">
      <c r="A19" s="3" t="s">
        <v>15</v>
      </c>
    </row>
    <row r="20" spans="1:1" x14ac:dyDescent="0.45">
      <c r="A20" s="3" t="s">
        <v>16</v>
      </c>
    </row>
    <row r="21" spans="1:1" x14ac:dyDescent="0.45">
      <c r="A21" s="3"/>
    </row>
    <row r="22" spans="1:1" ht="15.75" x14ac:dyDescent="0.45">
      <c r="A22" s="4" t="s">
        <v>17</v>
      </c>
    </row>
    <row r="23" spans="1:1" x14ac:dyDescent="0.45">
      <c r="A23" s="3"/>
    </row>
    <row r="24" spans="1:1" x14ac:dyDescent="0.45">
      <c r="A24" s="3" t="s">
        <v>18</v>
      </c>
    </row>
    <row r="25" spans="1:1" x14ac:dyDescent="0.45">
      <c r="A25" s="3" t="s">
        <v>19</v>
      </c>
    </row>
    <row r="26" spans="1:1" x14ac:dyDescent="0.45">
      <c r="A26" s="3" t="s">
        <v>20</v>
      </c>
    </row>
    <row r="27" spans="1:1" x14ac:dyDescent="0.45">
      <c r="A27" s="3" t="s">
        <v>21</v>
      </c>
    </row>
    <row r="28" spans="1:1" x14ac:dyDescent="0.45">
      <c r="A28" s="3"/>
    </row>
    <row r="29" spans="1:1" ht="15.75" x14ac:dyDescent="0.45">
      <c r="A29" s="4" t="s">
        <v>22</v>
      </c>
    </row>
    <row r="30" spans="1:1" x14ac:dyDescent="0.45">
      <c r="A30" s="3"/>
    </row>
    <row r="31" spans="1:1" x14ac:dyDescent="0.45">
      <c r="A31" s="3" t="s">
        <v>23</v>
      </c>
    </row>
    <row r="32" spans="1:1" x14ac:dyDescent="0.45">
      <c r="A32" s="3" t="s">
        <v>24</v>
      </c>
    </row>
    <row r="33" spans="1:1" x14ac:dyDescent="0.45">
      <c r="A33" s="3" t="s">
        <v>25</v>
      </c>
    </row>
    <row r="34" spans="1:1" x14ac:dyDescent="0.45">
      <c r="A34" s="3" t="s">
        <v>26</v>
      </c>
    </row>
    <row r="35" spans="1:1" x14ac:dyDescent="0.45">
      <c r="A35" s="3"/>
    </row>
    <row r="36" spans="1:1" x14ac:dyDescent="0.45">
      <c r="A36" s="3" t="s">
        <v>27</v>
      </c>
    </row>
    <row r="37" spans="1:1" x14ac:dyDescent="0.45">
      <c r="A37" s="3"/>
    </row>
    <row r="38" spans="1:1" x14ac:dyDescent="0.45">
      <c r="A38" s="3" t="s">
        <v>28</v>
      </c>
    </row>
    <row r="39" spans="1:1" x14ac:dyDescent="0.45">
      <c r="A39" s="3" t="s">
        <v>29</v>
      </c>
    </row>
    <row r="40" spans="1:1" x14ac:dyDescent="0.45">
      <c r="A40" s="3" t="s">
        <v>30</v>
      </c>
    </row>
    <row r="41" spans="1:1" x14ac:dyDescent="0.45">
      <c r="A41" s="3" t="s">
        <v>31</v>
      </c>
    </row>
    <row r="42" spans="1:1" x14ac:dyDescent="0.45">
      <c r="A42" s="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>
      <pane ySplit="4" topLeftCell="A5" activePane="bottomLeft" state="frozen"/>
      <selection pane="bottomLeft" activeCell="B26" sqref="B26"/>
    </sheetView>
  </sheetViews>
  <sheetFormatPr defaultRowHeight="14.25" x14ac:dyDescent="0.45"/>
  <cols>
    <col min="1" max="1" width="18" customWidth="1"/>
    <col min="2" max="2" width="38" customWidth="1"/>
    <col min="3" max="3" width="50" customWidth="1"/>
    <col min="4" max="4" width="14" customWidth="1"/>
    <col min="5" max="5" width="40" customWidth="1"/>
  </cols>
  <sheetData>
    <row r="1" spans="1:5" ht="24" customHeight="1" x14ac:dyDescent="0.65">
      <c r="A1" s="14" t="s">
        <v>33</v>
      </c>
      <c r="B1" s="13"/>
      <c r="C1" s="13"/>
      <c r="D1" s="13"/>
      <c r="E1" s="13"/>
    </row>
    <row r="2" spans="1:5" ht="18" customHeight="1" x14ac:dyDescent="0.45">
      <c r="A2" s="12" t="s">
        <v>34</v>
      </c>
      <c r="B2" s="13"/>
      <c r="C2" s="13"/>
      <c r="D2" s="13"/>
      <c r="E2" s="13"/>
    </row>
    <row r="4" spans="1:5" x14ac:dyDescent="0.45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</row>
    <row r="5" spans="1:5" x14ac:dyDescent="0.45">
      <c r="A5" s="6" t="s">
        <v>40</v>
      </c>
      <c r="B5" s="6" t="s">
        <v>41</v>
      </c>
      <c r="C5" s="6" t="s">
        <v>42</v>
      </c>
      <c r="D5" s="6" t="s">
        <v>43</v>
      </c>
      <c r="E5" s="6"/>
    </row>
    <row r="6" spans="1:5" x14ac:dyDescent="0.45">
      <c r="A6" s="6" t="s">
        <v>40</v>
      </c>
      <c r="B6" s="6" t="s">
        <v>44</v>
      </c>
      <c r="C6" s="6" t="s">
        <v>45</v>
      </c>
      <c r="D6" s="6" t="s">
        <v>43</v>
      </c>
      <c r="E6" s="6" t="s">
        <v>46</v>
      </c>
    </row>
    <row r="7" spans="1:5" x14ac:dyDescent="0.45">
      <c r="A7" s="6" t="s">
        <v>40</v>
      </c>
      <c r="B7" s="6" t="s">
        <v>47</v>
      </c>
      <c r="C7" s="6" t="s">
        <v>48</v>
      </c>
      <c r="D7" s="6" t="s">
        <v>43</v>
      </c>
      <c r="E7" s="6"/>
    </row>
    <row r="8" spans="1:5" x14ac:dyDescent="0.45">
      <c r="A8" s="6" t="s">
        <v>40</v>
      </c>
      <c r="B8" s="6" t="s">
        <v>49</v>
      </c>
      <c r="C8" s="6" t="s">
        <v>50</v>
      </c>
      <c r="D8" s="6" t="s">
        <v>43</v>
      </c>
      <c r="E8" s="6"/>
    </row>
    <row r="9" spans="1:5" x14ac:dyDescent="0.45">
      <c r="A9" s="6" t="s">
        <v>40</v>
      </c>
      <c r="B9" s="6" t="s">
        <v>51</v>
      </c>
      <c r="C9" s="6" t="s">
        <v>52</v>
      </c>
      <c r="D9" s="6" t="s">
        <v>43</v>
      </c>
      <c r="E9" s="6"/>
    </row>
    <row r="10" spans="1:5" ht="42.75" x14ac:dyDescent="0.45">
      <c r="A10" s="6" t="s">
        <v>40</v>
      </c>
      <c r="B10" s="6" t="s">
        <v>53</v>
      </c>
      <c r="C10" s="6" t="s">
        <v>54</v>
      </c>
      <c r="D10" s="6" t="s">
        <v>43</v>
      </c>
      <c r="E10" s="6"/>
    </row>
    <row r="11" spans="1:5" x14ac:dyDescent="0.45">
      <c r="A11" s="6" t="s">
        <v>40</v>
      </c>
      <c r="B11" s="6" t="s">
        <v>55</v>
      </c>
      <c r="C11" s="6" t="s">
        <v>56</v>
      </c>
      <c r="D11" s="6" t="s">
        <v>43</v>
      </c>
      <c r="E11" s="6"/>
    </row>
    <row r="12" spans="1:5" x14ac:dyDescent="0.45">
      <c r="A12" s="6" t="s">
        <v>40</v>
      </c>
      <c r="B12" s="6" t="s">
        <v>57</v>
      </c>
      <c r="C12" s="6" t="s">
        <v>58</v>
      </c>
      <c r="D12" s="6" t="s">
        <v>43</v>
      </c>
      <c r="E12" s="6" t="s">
        <v>59</v>
      </c>
    </row>
    <row r="13" spans="1:5" x14ac:dyDescent="0.45">
      <c r="A13" s="6" t="s">
        <v>40</v>
      </c>
      <c r="B13" s="6" t="s">
        <v>60</v>
      </c>
      <c r="C13" s="6" t="s">
        <v>61</v>
      </c>
      <c r="D13" s="6" t="s">
        <v>43</v>
      </c>
      <c r="E13" s="6" t="s">
        <v>62</v>
      </c>
    </row>
    <row r="14" spans="1:5" x14ac:dyDescent="0.45">
      <c r="A14" s="6" t="s">
        <v>40</v>
      </c>
      <c r="B14" s="6" t="s">
        <v>63</v>
      </c>
      <c r="C14" s="6" t="s">
        <v>64</v>
      </c>
      <c r="D14" s="6" t="s">
        <v>43</v>
      </c>
      <c r="E14" s="6"/>
    </row>
    <row r="15" spans="1:5" x14ac:dyDescent="0.45">
      <c r="A15" s="6" t="s">
        <v>40</v>
      </c>
      <c r="B15" s="6" t="s">
        <v>65</v>
      </c>
      <c r="C15" s="6" t="s">
        <v>66</v>
      </c>
      <c r="D15" s="6" t="s">
        <v>43</v>
      </c>
      <c r="E15" s="6" t="s">
        <v>67</v>
      </c>
    </row>
    <row r="16" spans="1:5" x14ac:dyDescent="0.45">
      <c r="A16" s="6" t="s">
        <v>40</v>
      </c>
      <c r="B16" s="6" t="s">
        <v>68</v>
      </c>
      <c r="C16" s="6" t="s">
        <v>69</v>
      </c>
      <c r="D16" s="6" t="s">
        <v>43</v>
      </c>
      <c r="E16" s="6" t="s">
        <v>70</v>
      </c>
    </row>
    <row r="17" spans="1:5" x14ac:dyDescent="0.45">
      <c r="A17" s="6" t="s">
        <v>40</v>
      </c>
      <c r="B17" s="6" t="s">
        <v>71</v>
      </c>
      <c r="C17" s="6" t="s">
        <v>72</v>
      </c>
      <c r="D17" s="6" t="s">
        <v>43</v>
      </c>
      <c r="E17" s="6" t="s">
        <v>73</v>
      </c>
    </row>
    <row r="18" spans="1:5" x14ac:dyDescent="0.45">
      <c r="A18" s="6" t="s">
        <v>40</v>
      </c>
      <c r="B18" s="6" t="s">
        <v>74</v>
      </c>
      <c r="C18" s="6" t="s">
        <v>75</v>
      </c>
      <c r="D18" s="6" t="s">
        <v>43</v>
      </c>
      <c r="E18" s="6" t="s">
        <v>76</v>
      </c>
    </row>
    <row r="19" spans="1:5" x14ac:dyDescent="0.45">
      <c r="A19" s="6" t="s">
        <v>40</v>
      </c>
      <c r="B19" s="6" t="s">
        <v>77</v>
      </c>
      <c r="C19" s="6" t="s">
        <v>78</v>
      </c>
      <c r="D19" s="6" t="s">
        <v>43</v>
      </c>
      <c r="E19" s="6" t="s">
        <v>79</v>
      </c>
    </row>
    <row r="20" spans="1:5" x14ac:dyDescent="0.45">
      <c r="A20" s="6" t="s">
        <v>40</v>
      </c>
      <c r="B20" s="6" t="s">
        <v>80</v>
      </c>
      <c r="C20" s="6" t="s">
        <v>81</v>
      </c>
      <c r="D20" s="6" t="s">
        <v>43</v>
      </c>
      <c r="E20" s="6" t="s">
        <v>82</v>
      </c>
    </row>
    <row r="21" spans="1:5" x14ac:dyDescent="0.45">
      <c r="A21" s="6" t="s">
        <v>40</v>
      </c>
      <c r="B21" s="6" t="s">
        <v>83</v>
      </c>
      <c r="C21" s="6" t="s">
        <v>84</v>
      </c>
      <c r="D21" s="6" t="s">
        <v>85</v>
      </c>
      <c r="E21" s="6" t="s">
        <v>86</v>
      </c>
    </row>
    <row r="22" spans="1:5" x14ac:dyDescent="0.45">
      <c r="A22" s="6" t="s">
        <v>87</v>
      </c>
      <c r="B22" s="6" t="s">
        <v>88</v>
      </c>
      <c r="C22" s="6" t="s">
        <v>89</v>
      </c>
      <c r="D22" s="6" t="s">
        <v>43</v>
      </c>
      <c r="E22" s="6" t="s">
        <v>90</v>
      </c>
    </row>
    <row r="23" spans="1:5" x14ac:dyDescent="0.45">
      <c r="A23" s="6" t="s">
        <v>87</v>
      </c>
      <c r="B23" s="6" t="s">
        <v>91</v>
      </c>
      <c r="C23" s="6" t="s">
        <v>92</v>
      </c>
      <c r="D23" s="6" t="s">
        <v>43</v>
      </c>
      <c r="E23" s="6" t="s">
        <v>93</v>
      </c>
    </row>
    <row r="24" spans="1:5" x14ac:dyDescent="0.45">
      <c r="A24" s="6" t="s">
        <v>87</v>
      </c>
      <c r="B24" s="6" t="s">
        <v>94</v>
      </c>
      <c r="C24" s="6" t="s">
        <v>95</v>
      </c>
      <c r="D24" s="6" t="s">
        <v>43</v>
      </c>
      <c r="E24" s="6" t="s">
        <v>96</v>
      </c>
    </row>
    <row r="25" spans="1:5" x14ac:dyDescent="0.45">
      <c r="A25" s="6" t="s">
        <v>87</v>
      </c>
      <c r="B25" s="6" t="s">
        <v>97</v>
      </c>
      <c r="C25" s="6" t="s">
        <v>98</v>
      </c>
      <c r="D25" s="6" t="s">
        <v>43</v>
      </c>
      <c r="E25" s="6" t="s">
        <v>99</v>
      </c>
    </row>
    <row r="26" spans="1:5" x14ac:dyDescent="0.45">
      <c r="A26" s="6" t="s">
        <v>87</v>
      </c>
      <c r="B26" s="6" t="s">
        <v>100</v>
      </c>
      <c r="C26" s="6" t="s">
        <v>101</v>
      </c>
      <c r="D26" s="6" t="s">
        <v>43</v>
      </c>
      <c r="E26" s="6" t="s">
        <v>102</v>
      </c>
    </row>
    <row r="27" spans="1:5" x14ac:dyDescent="0.45">
      <c r="A27" s="6" t="s">
        <v>87</v>
      </c>
      <c r="B27" s="6" t="s">
        <v>103</v>
      </c>
      <c r="C27" s="6" t="s">
        <v>104</v>
      </c>
      <c r="D27" s="6" t="s">
        <v>43</v>
      </c>
      <c r="E27" s="6" t="s">
        <v>105</v>
      </c>
    </row>
    <row r="28" spans="1:5" x14ac:dyDescent="0.45">
      <c r="A28" s="6" t="s">
        <v>87</v>
      </c>
      <c r="B28" s="6" t="s">
        <v>106</v>
      </c>
      <c r="C28" s="6" t="s">
        <v>107</v>
      </c>
      <c r="D28" s="6" t="s">
        <v>43</v>
      </c>
      <c r="E28" s="6"/>
    </row>
    <row r="29" spans="1:5" x14ac:dyDescent="0.45">
      <c r="A29" s="6" t="s">
        <v>87</v>
      </c>
      <c r="B29" s="6" t="s">
        <v>108</v>
      </c>
      <c r="C29" s="6" t="s">
        <v>109</v>
      </c>
      <c r="D29" s="6" t="s">
        <v>43</v>
      </c>
      <c r="E29" s="6" t="s">
        <v>110</v>
      </c>
    </row>
    <row r="30" spans="1:5" x14ac:dyDescent="0.45">
      <c r="A30" s="6" t="s">
        <v>87</v>
      </c>
      <c r="B30" s="6" t="s">
        <v>111</v>
      </c>
      <c r="C30" s="6" t="s">
        <v>112</v>
      </c>
      <c r="D30" s="6" t="s">
        <v>43</v>
      </c>
      <c r="E30" s="6" t="s">
        <v>113</v>
      </c>
    </row>
    <row r="31" spans="1:5" x14ac:dyDescent="0.45">
      <c r="A31" s="6" t="s">
        <v>87</v>
      </c>
      <c r="B31" s="6" t="s">
        <v>114</v>
      </c>
      <c r="C31" s="6" t="s">
        <v>115</v>
      </c>
      <c r="D31" s="6" t="s">
        <v>43</v>
      </c>
      <c r="E31" s="6" t="s">
        <v>116</v>
      </c>
    </row>
    <row r="32" spans="1:5" x14ac:dyDescent="0.45">
      <c r="A32" s="6" t="s">
        <v>87</v>
      </c>
      <c r="B32" s="6" t="s">
        <v>117</v>
      </c>
      <c r="C32" s="6" t="s">
        <v>118</v>
      </c>
      <c r="D32" s="6" t="s">
        <v>43</v>
      </c>
      <c r="E32" s="6" t="s">
        <v>119</v>
      </c>
    </row>
    <row r="33" spans="1:5" x14ac:dyDescent="0.45">
      <c r="A33" s="6" t="s">
        <v>87</v>
      </c>
      <c r="B33" s="6" t="s">
        <v>120</v>
      </c>
      <c r="C33" s="6" t="s">
        <v>121</v>
      </c>
      <c r="D33" s="6" t="s">
        <v>43</v>
      </c>
      <c r="E33" s="6" t="s">
        <v>122</v>
      </c>
    </row>
    <row r="34" spans="1:5" ht="28.5" x14ac:dyDescent="0.45">
      <c r="A34" s="6" t="s">
        <v>123</v>
      </c>
      <c r="B34" s="6" t="s">
        <v>124</v>
      </c>
      <c r="C34" s="6" t="s">
        <v>125</v>
      </c>
      <c r="D34" s="6" t="s">
        <v>43</v>
      </c>
      <c r="E34" s="6" t="s">
        <v>126</v>
      </c>
    </row>
    <row r="35" spans="1:5" x14ac:dyDescent="0.45">
      <c r="A35" s="6" t="s">
        <v>123</v>
      </c>
      <c r="B35" s="6" t="s">
        <v>127</v>
      </c>
      <c r="C35" s="6" t="s">
        <v>128</v>
      </c>
      <c r="D35" s="6" t="s">
        <v>43</v>
      </c>
      <c r="E35" s="6" t="s">
        <v>129</v>
      </c>
    </row>
    <row r="36" spans="1:5" x14ac:dyDescent="0.45">
      <c r="A36" s="6" t="s">
        <v>123</v>
      </c>
      <c r="B36" s="6" t="s">
        <v>130</v>
      </c>
      <c r="C36" s="6" t="s">
        <v>131</v>
      </c>
      <c r="D36" s="6" t="s">
        <v>43</v>
      </c>
      <c r="E36" s="6" t="s">
        <v>132</v>
      </c>
    </row>
    <row r="37" spans="1:5" x14ac:dyDescent="0.45">
      <c r="A37" s="6" t="s">
        <v>123</v>
      </c>
      <c r="B37" s="6" t="s">
        <v>133</v>
      </c>
      <c r="C37" s="6" t="s">
        <v>134</v>
      </c>
      <c r="D37" s="6" t="s">
        <v>43</v>
      </c>
      <c r="E37" s="6" t="s">
        <v>135</v>
      </c>
    </row>
    <row r="38" spans="1:5" x14ac:dyDescent="0.45">
      <c r="A38" s="6" t="s">
        <v>123</v>
      </c>
      <c r="B38" s="6" t="s">
        <v>136</v>
      </c>
      <c r="C38" s="6" t="s">
        <v>137</v>
      </c>
      <c r="D38" s="6" t="s">
        <v>43</v>
      </c>
      <c r="E38" s="6"/>
    </row>
    <row r="39" spans="1:5" x14ac:dyDescent="0.45">
      <c r="A39" s="6" t="s">
        <v>138</v>
      </c>
      <c r="B39" s="6" t="s">
        <v>139</v>
      </c>
      <c r="C39" s="6" t="s">
        <v>140</v>
      </c>
      <c r="D39" s="6" t="s">
        <v>43</v>
      </c>
      <c r="E39" s="6" t="s">
        <v>141</v>
      </c>
    </row>
    <row r="40" spans="1:5" x14ac:dyDescent="0.45">
      <c r="A40" s="6" t="s">
        <v>138</v>
      </c>
      <c r="B40" s="6" t="s">
        <v>142</v>
      </c>
      <c r="C40" s="6" t="s">
        <v>143</v>
      </c>
      <c r="D40" s="6" t="s">
        <v>43</v>
      </c>
      <c r="E40" s="6" t="s">
        <v>144</v>
      </c>
    </row>
    <row r="41" spans="1:5" ht="28.5" x14ac:dyDescent="0.45">
      <c r="A41" s="6" t="s">
        <v>138</v>
      </c>
      <c r="B41" s="6" t="s">
        <v>145</v>
      </c>
      <c r="C41" s="6" t="s">
        <v>146</v>
      </c>
      <c r="D41" s="6" t="s">
        <v>43</v>
      </c>
      <c r="E41" s="6" t="s">
        <v>147</v>
      </c>
    </row>
    <row r="42" spans="1:5" ht="28.5" x14ac:dyDescent="0.45">
      <c r="A42" s="6" t="s">
        <v>138</v>
      </c>
      <c r="B42" s="6" t="s">
        <v>148</v>
      </c>
      <c r="C42" s="6" t="s">
        <v>149</v>
      </c>
      <c r="D42" s="6" t="s">
        <v>43</v>
      </c>
      <c r="E42" s="6"/>
    </row>
    <row r="43" spans="1:5" x14ac:dyDescent="0.45">
      <c r="A43" s="6" t="s">
        <v>138</v>
      </c>
      <c r="B43" s="6" t="s">
        <v>150</v>
      </c>
      <c r="C43" s="6" t="s">
        <v>151</v>
      </c>
      <c r="D43" s="6" t="s">
        <v>43</v>
      </c>
      <c r="E43" s="6"/>
    </row>
    <row r="44" spans="1:5" ht="28.5" x14ac:dyDescent="0.45">
      <c r="A44" s="6" t="s">
        <v>152</v>
      </c>
      <c r="B44" s="6" t="s">
        <v>153</v>
      </c>
      <c r="C44" s="6" t="s">
        <v>154</v>
      </c>
      <c r="D44" s="6" t="s">
        <v>43</v>
      </c>
      <c r="E44" s="6" t="s">
        <v>155</v>
      </c>
    </row>
    <row r="45" spans="1:5" x14ac:dyDescent="0.45">
      <c r="A45" s="6" t="s">
        <v>156</v>
      </c>
      <c r="B45" s="6" t="s">
        <v>157</v>
      </c>
      <c r="C45" s="6" t="s">
        <v>158</v>
      </c>
      <c r="D45" s="6" t="s">
        <v>43</v>
      </c>
      <c r="E45" s="6" t="s">
        <v>159</v>
      </c>
    </row>
    <row r="46" spans="1:5" x14ac:dyDescent="0.45">
      <c r="A46" s="6" t="s">
        <v>156</v>
      </c>
      <c r="B46" s="6" t="s">
        <v>160</v>
      </c>
      <c r="C46" s="6" t="s">
        <v>161</v>
      </c>
      <c r="D46" s="6" t="s">
        <v>43</v>
      </c>
      <c r="E46" s="6" t="s">
        <v>162</v>
      </c>
    </row>
  </sheetData>
  <mergeCells count="2">
    <mergeCell ref="A2:E2"/>
    <mergeCell ref="A1:E1"/>
  </mergeCells>
  <conditionalFormatting sqref="D5:D46">
    <cfRule type="cellIs" dxfId="30" priority="1" operator="equal">
      <formula>"Done"</formula>
    </cfRule>
    <cfRule type="cellIs" dxfId="29" priority="2" operator="equal">
      <formula>"In progress"</formula>
    </cfRule>
    <cfRule type="cellIs" dxfId="28" priority="3" operator="equal">
      <formula>"Not started"</formula>
    </cfRule>
  </conditionalFormatting>
  <dataValidations count="1">
    <dataValidation type="list" allowBlank="1" sqref="D5:D46" xr:uid="{00000000-0002-0000-0100-000000000000}">
      <formula1>"Not started,In progress,Done,N/A"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4"/>
  <sheetViews>
    <sheetView tabSelected="1" workbookViewId="0">
      <pane ySplit="4" topLeftCell="A26" activePane="bottomLeft" state="frozen"/>
      <selection pane="bottomLeft" sqref="A1:H1"/>
    </sheetView>
  </sheetViews>
  <sheetFormatPr defaultRowHeight="14.25" x14ac:dyDescent="0.45"/>
  <cols>
    <col min="1" max="1" width="15.1328125" customWidth="1"/>
    <col min="2" max="2" width="6" customWidth="1"/>
    <col min="3" max="3" width="22" customWidth="1"/>
    <col min="4" max="4" width="8" customWidth="1"/>
    <col min="5" max="5" width="60" customWidth="1"/>
    <col min="6" max="6" width="35" customWidth="1"/>
    <col min="7" max="7" width="10" customWidth="1"/>
    <col min="8" max="8" width="35" customWidth="1"/>
  </cols>
  <sheetData>
    <row r="1" spans="1:8" ht="24" customHeight="1" x14ac:dyDescent="0.65">
      <c r="A1" s="14" t="s">
        <v>163</v>
      </c>
      <c r="B1" s="13"/>
      <c r="C1" s="13"/>
      <c r="D1" s="13"/>
      <c r="E1" s="13"/>
      <c r="F1" s="13"/>
      <c r="G1" s="13"/>
      <c r="H1" s="13"/>
    </row>
    <row r="2" spans="1:8" ht="18" customHeight="1" x14ac:dyDescent="0.45">
      <c r="A2" s="12" t="s">
        <v>164</v>
      </c>
      <c r="B2" s="13"/>
      <c r="C2" s="13"/>
      <c r="D2" s="13"/>
      <c r="E2" s="13"/>
      <c r="F2" s="13"/>
      <c r="G2" s="13"/>
      <c r="H2" s="13"/>
    </row>
    <row r="4" spans="1:8" x14ac:dyDescent="0.45">
      <c r="A4" s="5" t="s">
        <v>165</v>
      </c>
      <c r="B4" s="5" t="s">
        <v>166</v>
      </c>
      <c r="C4" s="5" t="s">
        <v>167</v>
      </c>
      <c r="D4" s="5" t="s">
        <v>168</v>
      </c>
      <c r="E4" s="5" t="s">
        <v>169</v>
      </c>
      <c r="F4" s="5" t="s">
        <v>170</v>
      </c>
      <c r="G4" s="5" t="s">
        <v>171</v>
      </c>
      <c r="H4" s="5" t="s">
        <v>172</v>
      </c>
    </row>
    <row r="5" spans="1:8" ht="28.5" x14ac:dyDescent="0.45">
      <c r="A5" s="7">
        <v>46146</v>
      </c>
      <c r="B5" s="6" t="s">
        <v>173</v>
      </c>
      <c r="C5" s="6" t="s">
        <v>174</v>
      </c>
      <c r="D5" s="6"/>
      <c r="E5" s="6"/>
      <c r="F5" s="6"/>
      <c r="G5" s="6"/>
      <c r="H5" s="6"/>
    </row>
    <row r="6" spans="1:8" ht="28.5" x14ac:dyDescent="0.45">
      <c r="A6" s="7">
        <v>46147</v>
      </c>
      <c r="B6" s="6" t="s">
        <v>175</v>
      </c>
      <c r="C6" s="6" t="s">
        <v>174</v>
      </c>
      <c r="D6" s="6"/>
      <c r="E6" s="6"/>
      <c r="F6" s="6"/>
      <c r="G6" s="6"/>
      <c r="H6" s="6"/>
    </row>
    <row r="7" spans="1:8" ht="28.5" x14ac:dyDescent="0.45">
      <c r="A7" s="7">
        <v>46148</v>
      </c>
      <c r="B7" s="6" t="s">
        <v>176</v>
      </c>
      <c r="C7" s="6" t="s">
        <v>174</v>
      </c>
      <c r="D7" s="6"/>
      <c r="E7" s="6"/>
      <c r="F7" s="6"/>
      <c r="G7" s="6"/>
      <c r="H7" s="6"/>
    </row>
    <row r="8" spans="1:8" ht="28.5" x14ac:dyDescent="0.45">
      <c r="A8" s="7">
        <v>46149</v>
      </c>
      <c r="B8" s="6" t="s">
        <v>177</v>
      </c>
      <c r="C8" s="6" t="s">
        <v>174</v>
      </c>
      <c r="D8" s="6"/>
      <c r="E8" s="6"/>
      <c r="F8" s="6"/>
      <c r="G8" s="6"/>
      <c r="H8" s="6"/>
    </row>
    <row r="9" spans="1:8" ht="28.5" x14ac:dyDescent="0.45">
      <c r="A9" s="7">
        <v>46150</v>
      </c>
      <c r="B9" s="6" t="s">
        <v>178</v>
      </c>
      <c r="C9" s="6" t="s">
        <v>174</v>
      </c>
      <c r="D9" s="6"/>
      <c r="E9" s="6"/>
      <c r="F9" s="6"/>
      <c r="G9" s="6"/>
      <c r="H9" s="6"/>
    </row>
    <row r="10" spans="1:8" ht="28.5" x14ac:dyDescent="0.45">
      <c r="A10" s="7">
        <v>46151</v>
      </c>
      <c r="B10" s="6" t="s">
        <v>179</v>
      </c>
      <c r="C10" s="6" t="s">
        <v>174</v>
      </c>
      <c r="D10" s="6"/>
      <c r="E10" s="6"/>
      <c r="F10" s="6"/>
      <c r="G10" s="6"/>
      <c r="H10" s="6"/>
    </row>
    <row r="11" spans="1:8" ht="28.5" x14ac:dyDescent="0.45">
      <c r="A11" s="8">
        <v>46152</v>
      </c>
      <c r="B11" s="9" t="s">
        <v>180</v>
      </c>
      <c r="C11" s="9" t="s">
        <v>174</v>
      </c>
      <c r="D11" s="9"/>
      <c r="E11" s="9" t="s">
        <v>181</v>
      </c>
      <c r="F11" s="9"/>
      <c r="G11" s="9"/>
      <c r="H11" s="9"/>
    </row>
    <row r="12" spans="1:8" ht="28.5" x14ac:dyDescent="0.45">
      <c r="A12" s="7">
        <v>46153</v>
      </c>
      <c r="B12" s="6" t="s">
        <v>173</v>
      </c>
      <c r="C12" s="6" t="s">
        <v>174</v>
      </c>
      <c r="D12" s="6"/>
      <c r="E12" s="6"/>
      <c r="F12" s="6"/>
      <c r="G12" s="6"/>
      <c r="H12" s="6"/>
    </row>
    <row r="13" spans="1:8" ht="28.5" x14ac:dyDescent="0.45">
      <c r="A13" s="7">
        <v>46154</v>
      </c>
      <c r="B13" s="6" t="s">
        <v>175</v>
      </c>
      <c r="C13" s="6" t="s">
        <v>174</v>
      </c>
      <c r="D13" s="6"/>
      <c r="E13" s="6"/>
      <c r="F13" s="6"/>
      <c r="G13" s="6"/>
      <c r="H13" s="6"/>
    </row>
    <row r="14" spans="1:8" ht="28.5" x14ac:dyDescent="0.45">
      <c r="A14" s="7">
        <v>46155</v>
      </c>
      <c r="B14" s="6" t="s">
        <v>176</v>
      </c>
      <c r="C14" s="6" t="s">
        <v>174</v>
      </c>
      <c r="D14" s="6"/>
      <c r="E14" s="6"/>
      <c r="F14" s="6"/>
      <c r="G14" s="6"/>
      <c r="H14" s="6"/>
    </row>
    <row r="15" spans="1:8" ht="28.5" x14ac:dyDescent="0.45">
      <c r="A15" s="7">
        <v>46156</v>
      </c>
      <c r="B15" s="6" t="s">
        <v>177</v>
      </c>
      <c r="C15" s="6" t="s">
        <v>174</v>
      </c>
      <c r="D15" s="6"/>
      <c r="E15" s="6"/>
      <c r="F15" s="6"/>
      <c r="G15" s="6"/>
      <c r="H15" s="6"/>
    </row>
    <row r="16" spans="1:8" ht="28.5" x14ac:dyDescent="0.45">
      <c r="A16" s="7">
        <v>46157</v>
      </c>
      <c r="B16" s="6" t="s">
        <v>178</v>
      </c>
      <c r="C16" s="6" t="s">
        <v>174</v>
      </c>
      <c r="D16" s="6"/>
      <c r="E16" s="6"/>
      <c r="F16" s="6"/>
      <c r="G16" s="6"/>
      <c r="H16" s="6"/>
    </row>
    <row r="17" spans="1:8" ht="28.5" x14ac:dyDescent="0.45">
      <c r="A17" s="7">
        <v>46158</v>
      </c>
      <c r="B17" s="6" t="s">
        <v>179</v>
      </c>
      <c r="C17" s="6" t="s">
        <v>174</v>
      </c>
      <c r="D17" s="6"/>
      <c r="E17" s="6"/>
      <c r="F17" s="6"/>
      <c r="G17" s="6"/>
      <c r="H17" s="6"/>
    </row>
    <row r="18" spans="1:8" ht="28.5" x14ac:dyDescent="0.45">
      <c r="A18" s="8">
        <v>46159</v>
      </c>
      <c r="B18" s="9" t="s">
        <v>180</v>
      </c>
      <c r="C18" s="9" t="s">
        <v>174</v>
      </c>
      <c r="D18" s="9"/>
      <c r="E18" s="9" t="s">
        <v>181</v>
      </c>
      <c r="F18" s="9"/>
      <c r="G18" s="9"/>
      <c r="H18" s="9"/>
    </row>
    <row r="19" spans="1:8" ht="28.5" x14ac:dyDescent="0.45">
      <c r="A19" s="7">
        <v>46160</v>
      </c>
      <c r="B19" s="6" t="s">
        <v>173</v>
      </c>
      <c r="C19" s="6" t="s">
        <v>182</v>
      </c>
      <c r="D19" s="6"/>
      <c r="E19" s="6"/>
      <c r="F19" s="6"/>
      <c r="G19" s="6"/>
      <c r="H19" s="6"/>
    </row>
    <row r="20" spans="1:8" ht="28.5" x14ac:dyDescent="0.45">
      <c r="A20" s="7">
        <v>46161</v>
      </c>
      <c r="B20" s="6" t="s">
        <v>175</v>
      </c>
      <c r="C20" s="6" t="s">
        <v>182</v>
      </c>
      <c r="D20" s="6"/>
      <c r="E20" s="6"/>
      <c r="F20" s="6"/>
      <c r="G20" s="6"/>
      <c r="H20" s="6"/>
    </row>
    <row r="21" spans="1:8" ht="28.5" x14ac:dyDescent="0.45">
      <c r="A21" s="7">
        <v>46162</v>
      </c>
      <c r="B21" s="6" t="s">
        <v>176</v>
      </c>
      <c r="C21" s="6" t="s">
        <v>182</v>
      </c>
      <c r="D21" s="6"/>
      <c r="E21" s="6"/>
      <c r="F21" s="6"/>
      <c r="G21" s="6"/>
      <c r="H21" s="6"/>
    </row>
    <row r="22" spans="1:8" ht="28.5" x14ac:dyDescent="0.45">
      <c r="A22" s="7">
        <v>46163</v>
      </c>
      <c r="B22" s="6" t="s">
        <v>177</v>
      </c>
      <c r="C22" s="6" t="s">
        <v>182</v>
      </c>
      <c r="D22" s="6"/>
      <c r="E22" s="6"/>
      <c r="F22" s="6"/>
      <c r="G22" s="6"/>
      <c r="H22" s="6"/>
    </row>
    <row r="23" spans="1:8" ht="28.5" x14ac:dyDescent="0.45">
      <c r="A23" s="7">
        <v>46164</v>
      </c>
      <c r="B23" s="6" t="s">
        <v>178</v>
      </c>
      <c r="C23" s="6" t="s">
        <v>182</v>
      </c>
      <c r="D23" s="6"/>
      <c r="E23" s="6"/>
      <c r="F23" s="6"/>
      <c r="G23" s="6"/>
      <c r="H23" s="6"/>
    </row>
    <row r="24" spans="1:8" ht="28.5" x14ac:dyDescent="0.45">
      <c r="A24" s="7">
        <v>46165</v>
      </c>
      <c r="B24" s="6" t="s">
        <v>179</v>
      </c>
      <c r="C24" s="6" t="s">
        <v>182</v>
      </c>
      <c r="D24" s="6"/>
      <c r="E24" s="6"/>
      <c r="F24" s="6"/>
      <c r="G24" s="6"/>
      <c r="H24" s="6"/>
    </row>
    <row r="25" spans="1:8" ht="28.5" x14ac:dyDescent="0.45">
      <c r="A25" s="8">
        <v>46166</v>
      </c>
      <c r="B25" s="9" t="s">
        <v>180</v>
      </c>
      <c r="C25" s="9" t="s">
        <v>182</v>
      </c>
      <c r="D25" s="9"/>
      <c r="E25" s="9" t="s">
        <v>181</v>
      </c>
      <c r="F25" s="9"/>
      <c r="G25" s="9"/>
      <c r="H25" s="9"/>
    </row>
    <row r="26" spans="1:8" ht="28.5" x14ac:dyDescent="0.45">
      <c r="A26" s="7">
        <v>46167</v>
      </c>
      <c r="B26" s="6" t="s">
        <v>173</v>
      </c>
      <c r="C26" s="6" t="s">
        <v>182</v>
      </c>
      <c r="D26" s="6"/>
      <c r="E26" s="6"/>
      <c r="F26" s="6"/>
      <c r="G26" s="6"/>
      <c r="H26" s="6"/>
    </row>
    <row r="27" spans="1:8" ht="28.5" x14ac:dyDescent="0.45">
      <c r="A27" s="7">
        <v>46168</v>
      </c>
      <c r="B27" s="6" t="s">
        <v>175</v>
      </c>
      <c r="C27" s="6" t="s">
        <v>182</v>
      </c>
      <c r="D27" s="6"/>
      <c r="E27" s="6"/>
      <c r="F27" s="6"/>
      <c r="G27" s="6"/>
      <c r="H27" s="6"/>
    </row>
    <row r="28" spans="1:8" ht="28.5" x14ac:dyDescent="0.45">
      <c r="A28" s="7">
        <v>46169</v>
      </c>
      <c r="B28" s="6" t="s">
        <v>176</v>
      </c>
      <c r="C28" s="6" t="s">
        <v>182</v>
      </c>
      <c r="D28" s="6"/>
      <c r="E28" s="6"/>
      <c r="F28" s="6"/>
      <c r="G28" s="6"/>
      <c r="H28" s="6"/>
    </row>
    <row r="29" spans="1:8" ht="28.5" x14ac:dyDescent="0.45">
      <c r="A29" s="7">
        <v>46170</v>
      </c>
      <c r="B29" s="6" t="s">
        <v>177</v>
      </c>
      <c r="C29" s="6" t="s">
        <v>182</v>
      </c>
      <c r="D29" s="6"/>
      <c r="E29" s="6"/>
      <c r="F29" s="6"/>
      <c r="G29" s="6"/>
      <c r="H29" s="6"/>
    </row>
    <row r="30" spans="1:8" ht="28.5" x14ac:dyDescent="0.45">
      <c r="A30" s="7">
        <v>46171</v>
      </c>
      <c r="B30" s="6" t="s">
        <v>178</v>
      </c>
      <c r="C30" s="6" t="s">
        <v>182</v>
      </c>
      <c r="D30" s="6"/>
      <c r="E30" s="6"/>
      <c r="F30" s="6"/>
      <c r="G30" s="6"/>
      <c r="H30" s="6"/>
    </row>
    <row r="31" spans="1:8" ht="28.5" x14ac:dyDescent="0.45">
      <c r="A31" s="7">
        <v>46172</v>
      </c>
      <c r="B31" s="6" t="s">
        <v>179</v>
      </c>
      <c r="C31" s="6" t="s">
        <v>182</v>
      </c>
      <c r="D31" s="6"/>
      <c r="E31" s="6"/>
      <c r="F31" s="6"/>
      <c r="G31" s="6"/>
      <c r="H31" s="6"/>
    </row>
    <row r="32" spans="1:8" ht="28.5" x14ac:dyDescent="0.45">
      <c r="A32" s="8">
        <v>46173</v>
      </c>
      <c r="B32" s="9" t="s">
        <v>180</v>
      </c>
      <c r="C32" s="9" t="s">
        <v>182</v>
      </c>
      <c r="D32" s="9"/>
      <c r="E32" s="9" t="s">
        <v>181</v>
      </c>
      <c r="F32" s="9"/>
      <c r="G32" s="9"/>
      <c r="H32" s="9"/>
    </row>
    <row r="33" spans="1:8" ht="28.5" x14ac:dyDescent="0.45">
      <c r="A33" s="7">
        <v>46174</v>
      </c>
      <c r="B33" s="6" t="s">
        <v>173</v>
      </c>
      <c r="C33" s="6" t="s">
        <v>183</v>
      </c>
      <c r="D33" s="6"/>
      <c r="E33" s="6"/>
      <c r="F33" s="6"/>
      <c r="G33" s="6"/>
      <c r="H33" s="6"/>
    </row>
    <row r="34" spans="1:8" ht="28.5" x14ac:dyDescent="0.45">
      <c r="A34" s="7">
        <v>46175</v>
      </c>
      <c r="B34" s="6" t="s">
        <v>175</v>
      </c>
      <c r="C34" s="6" t="s">
        <v>183</v>
      </c>
      <c r="D34" s="6"/>
      <c r="E34" s="6"/>
      <c r="F34" s="6"/>
      <c r="G34" s="6"/>
      <c r="H34" s="6"/>
    </row>
    <row r="35" spans="1:8" ht="28.5" x14ac:dyDescent="0.45">
      <c r="A35" s="7">
        <v>46176</v>
      </c>
      <c r="B35" s="6" t="s">
        <v>176</v>
      </c>
      <c r="C35" s="6" t="s">
        <v>183</v>
      </c>
      <c r="D35" s="6"/>
      <c r="E35" s="6"/>
      <c r="F35" s="6"/>
      <c r="G35" s="6"/>
      <c r="H35" s="6"/>
    </row>
    <row r="36" spans="1:8" ht="28.5" x14ac:dyDescent="0.45">
      <c r="A36" s="7">
        <v>46177</v>
      </c>
      <c r="B36" s="6" t="s">
        <v>177</v>
      </c>
      <c r="C36" s="6" t="s">
        <v>183</v>
      </c>
      <c r="D36" s="6"/>
      <c r="E36" s="6"/>
      <c r="F36" s="6"/>
      <c r="G36" s="6"/>
      <c r="H36" s="6"/>
    </row>
    <row r="37" spans="1:8" ht="28.5" x14ac:dyDescent="0.45">
      <c r="A37" s="7">
        <v>46178</v>
      </c>
      <c r="B37" s="6" t="s">
        <v>178</v>
      </c>
      <c r="C37" s="6" t="s">
        <v>183</v>
      </c>
      <c r="D37" s="6"/>
      <c r="E37" s="6"/>
      <c r="F37" s="6"/>
      <c r="G37" s="6"/>
      <c r="H37" s="6"/>
    </row>
    <row r="38" spans="1:8" ht="28.5" x14ac:dyDescent="0.45">
      <c r="A38" s="7">
        <v>46179</v>
      </c>
      <c r="B38" s="6" t="s">
        <v>179</v>
      </c>
      <c r="C38" s="6" t="s">
        <v>183</v>
      </c>
      <c r="D38" s="6"/>
      <c r="E38" s="6"/>
      <c r="F38" s="6"/>
      <c r="G38" s="6"/>
      <c r="H38" s="6"/>
    </row>
    <row r="39" spans="1:8" ht="28.5" x14ac:dyDescent="0.45">
      <c r="A39" s="8">
        <v>46180</v>
      </c>
      <c r="B39" s="9" t="s">
        <v>180</v>
      </c>
      <c r="C39" s="9" t="s">
        <v>183</v>
      </c>
      <c r="D39" s="9"/>
      <c r="E39" s="9" t="s">
        <v>181</v>
      </c>
      <c r="F39" s="9"/>
      <c r="G39" s="9"/>
      <c r="H39" s="9"/>
    </row>
    <row r="40" spans="1:8" ht="28.5" x14ac:dyDescent="0.45">
      <c r="A40" s="7">
        <v>46181</v>
      </c>
      <c r="B40" s="6" t="s">
        <v>173</v>
      </c>
      <c r="C40" s="6" t="s">
        <v>183</v>
      </c>
      <c r="D40" s="6"/>
      <c r="E40" s="6"/>
      <c r="F40" s="6"/>
      <c r="G40" s="6"/>
      <c r="H40" s="6"/>
    </row>
    <row r="41" spans="1:8" ht="28.5" x14ac:dyDescent="0.45">
      <c r="A41" s="7">
        <v>46182</v>
      </c>
      <c r="B41" s="6" t="s">
        <v>175</v>
      </c>
      <c r="C41" s="6" t="s">
        <v>183</v>
      </c>
      <c r="D41" s="6"/>
      <c r="E41" s="6"/>
      <c r="F41" s="6"/>
      <c r="G41" s="6"/>
      <c r="H41" s="6"/>
    </row>
    <row r="42" spans="1:8" ht="28.5" x14ac:dyDescent="0.45">
      <c r="A42" s="7">
        <v>46183</v>
      </c>
      <c r="B42" s="6" t="s">
        <v>176</v>
      </c>
      <c r="C42" s="6" t="s">
        <v>183</v>
      </c>
      <c r="D42" s="6"/>
      <c r="E42" s="6"/>
      <c r="F42" s="6"/>
      <c r="G42" s="6"/>
      <c r="H42" s="6"/>
    </row>
    <row r="43" spans="1:8" ht="28.5" x14ac:dyDescent="0.45">
      <c r="A43" s="7">
        <v>46184</v>
      </c>
      <c r="B43" s="6" t="s">
        <v>177</v>
      </c>
      <c r="C43" s="6" t="s">
        <v>183</v>
      </c>
      <c r="D43" s="6"/>
      <c r="E43" s="6"/>
      <c r="F43" s="6"/>
      <c r="G43" s="6"/>
      <c r="H43" s="6"/>
    </row>
    <row r="44" spans="1:8" ht="28.5" x14ac:dyDescent="0.45">
      <c r="A44" s="7">
        <v>46185</v>
      </c>
      <c r="B44" s="6" t="s">
        <v>178</v>
      </c>
      <c r="C44" s="6" t="s">
        <v>183</v>
      </c>
      <c r="D44" s="6"/>
      <c r="E44" s="6"/>
      <c r="F44" s="6"/>
      <c r="G44" s="6"/>
      <c r="H44" s="6"/>
    </row>
    <row r="45" spans="1:8" ht="28.5" x14ac:dyDescent="0.45">
      <c r="A45" s="7">
        <v>46186</v>
      </c>
      <c r="B45" s="6" t="s">
        <v>179</v>
      </c>
      <c r="C45" s="6" t="s">
        <v>183</v>
      </c>
      <c r="D45" s="6"/>
      <c r="E45" s="6"/>
      <c r="F45" s="6"/>
      <c r="G45" s="6"/>
      <c r="H45" s="6"/>
    </row>
    <row r="46" spans="1:8" ht="28.5" x14ac:dyDescent="0.45">
      <c r="A46" s="8">
        <v>46187</v>
      </c>
      <c r="B46" s="9" t="s">
        <v>180</v>
      </c>
      <c r="C46" s="9" t="s">
        <v>183</v>
      </c>
      <c r="D46" s="9"/>
      <c r="E46" s="9" t="s">
        <v>181</v>
      </c>
      <c r="F46" s="9"/>
      <c r="G46" s="9"/>
      <c r="H46" s="9"/>
    </row>
    <row r="47" spans="1:8" ht="28.5" x14ac:dyDescent="0.45">
      <c r="A47" s="7">
        <v>46188</v>
      </c>
      <c r="B47" s="6" t="s">
        <v>173</v>
      </c>
      <c r="C47" s="6" t="s">
        <v>183</v>
      </c>
      <c r="D47" s="6"/>
      <c r="E47" s="6"/>
      <c r="F47" s="6"/>
      <c r="G47" s="6"/>
      <c r="H47" s="6"/>
    </row>
    <row r="48" spans="1:8" ht="28.5" x14ac:dyDescent="0.45">
      <c r="A48" s="7">
        <v>46189</v>
      </c>
      <c r="B48" s="6" t="s">
        <v>175</v>
      </c>
      <c r="C48" s="6" t="s">
        <v>183</v>
      </c>
      <c r="D48" s="6"/>
      <c r="E48" s="6"/>
      <c r="F48" s="6"/>
      <c r="G48" s="6"/>
      <c r="H48" s="6"/>
    </row>
    <row r="49" spans="1:8" ht="28.5" x14ac:dyDescent="0.45">
      <c r="A49" s="7">
        <v>46190</v>
      </c>
      <c r="B49" s="6" t="s">
        <v>176</v>
      </c>
      <c r="C49" s="6" t="s">
        <v>183</v>
      </c>
      <c r="D49" s="6"/>
      <c r="E49" s="6"/>
      <c r="F49" s="6"/>
      <c r="G49" s="6"/>
      <c r="H49" s="6"/>
    </row>
    <row r="50" spans="1:8" ht="28.5" x14ac:dyDescent="0.45">
      <c r="A50" s="7">
        <v>46191</v>
      </c>
      <c r="B50" s="6" t="s">
        <v>177</v>
      </c>
      <c r="C50" s="6" t="s">
        <v>183</v>
      </c>
      <c r="D50" s="6"/>
      <c r="E50" s="6"/>
      <c r="F50" s="6"/>
      <c r="G50" s="6"/>
      <c r="H50" s="6"/>
    </row>
    <row r="51" spans="1:8" ht="28.5" x14ac:dyDescent="0.45">
      <c r="A51" s="7">
        <v>46192</v>
      </c>
      <c r="B51" s="6" t="s">
        <v>178</v>
      </c>
      <c r="C51" s="6" t="s">
        <v>183</v>
      </c>
      <c r="D51" s="6"/>
      <c r="E51" s="6"/>
      <c r="F51" s="6"/>
      <c r="G51" s="6"/>
      <c r="H51" s="6"/>
    </row>
    <row r="52" spans="1:8" ht="28.5" x14ac:dyDescent="0.45">
      <c r="A52" s="7">
        <v>46193</v>
      </c>
      <c r="B52" s="6" t="s">
        <v>179</v>
      </c>
      <c r="C52" s="6" t="s">
        <v>183</v>
      </c>
      <c r="D52" s="6"/>
      <c r="E52" s="6"/>
      <c r="F52" s="6"/>
      <c r="G52" s="6"/>
      <c r="H52" s="6"/>
    </row>
    <row r="53" spans="1:8" ht="28.5" x14ac:dyDescent="0.45">
      <c r="A53" s="8">
        <v>46194</v>
      </c>
      <c r="B53" s="9" t="s">
        <v>180</v>
      </c>
      <c r="C53" s="9" t="s">
        <v>183</v>
      </c>
      <c r="D53" s="9"/>
      <c r="E53" s="9" t="s">
        <v>181</v>
      </c>
      <c r="F53" s="9"/>
      <c r="G53" s="9"/>
      <c r="H53" s="9"/>
    </row>
    <row r="54" spans="1:8" x14ac:dyDescent="0.45">
      <c r="A54" s="7">
        <v>46195</v>
      </c>
      <c r="B54" s="6" t="s">
        <v>173</v>
      </c>
      <c r="C54" s="6" t="s">
        <v>184</v>
      </c>
      <c r="D54" s="6"/>
      <c r="E54" s="6"/>
      <c r="F54" s="6"/>
      <c r="G54" s="6"/>
      <c r="H54" s="6"/>
    </row>
    <row r="55" spans="1:8" x14ac:dyDescent="0.45">
      <c r="A55" s="7">
        <v>46196</v>
      </c>
      <c r="B55" s="6" t="s">
        <v>175</v>
      </c>
      <c r="C55" s="6" t="s">
        <v>184</v>
      </c>
      <c r="D55" s="6"/>
      <c r="E55" s="6"/>
      <c r="F55" s="6"/>
      <c r="G55" s="6"/>
      <c r="H55" s="6"/>
    </row>
    <row r="56" spans="1:8" x14ac:dyDescent="0.45">
      <c r="A56" s="7">
        <v>46197</v>
      </c>
      <c r="B56" s="6" t="s">
        <v>176</v>
      </c>
      <c r="C56" s="6" t="s">
        <v>184</v>
      </c>
      <c r="D56" s="6"/>
      <c r="E56" s="6"/>
      <c r="F56" s="6"/>
      <c r="G56" s="6"/>
      <c r="H56" s="6"/>
    </row>
    <row r="57" spans="1:8" x14ac:dyDescent="0.45">
      <c r="A57" s="7">
        <v>46198</v>
      </c>
      <c r="B57" s="6" t="s">
        <v>177</v>
      </c>
      <c r="C57" s="6" t="s">
        <v>184</v>
      </c>
      <c r="D57" s="6"/>
      <c r="E57" s="6"/>
      <c r="F57" s="6"/>
      <c r="G57" s="6"/>
      <c r="H57" s="6"/>
    </row>
    <row r="58" spans="1:8" x14ac:dyDescent="0.45">
      <c r="A58" s="7">
        <v>46199</v>
      </c>
      <c r="B58" s="6" t="s">
        <v>178</v>
      </c>
      <c r="C58" s="6" t="s">
        <v>184</v>
      </c>
      <c r="D58" s="6"/>
      <c r="E58" s="6"/>
      <c r="F58" s="6"/>
      <c r="G58" s="6"/>
      <c r="H58" s="6"/>
    </row>
    <row r="59" spans="1:8" x14ac:dyDescent="0.45">
      <c r="A59" s="7">
        <v>46200</v>
      </c>
      <c r="B59" s="6" t="s">
        <v>179</v>
      </c>
      <c r="C59" s="6" t="s">
        <v>184</v>
      </c>
      <c r="D59" s="6"/>
      <c r="E59" s="6"/>
      <c r="F59" s="6"/>
      <c r="G59" s="6"/>
      <c r="H59" s="6"/>
    </row>
    <row r="60" spans="1:8" x14ac:dyDescent="0.45">
      <c r="A60" s="8">
        <v>46201</v>
      </c>
      <c r="B60" s="9" t="s">
        <v>180</v>
      </c>
      <c r="C60" s="9" t="s">
        <v>184</v>
      </c>
      <c r="D60" s="9"/>
      <c r="E60" s="9" t="s">
        <v>181</v>
      </c>
      <c r="F60" s="9"/>
      <c r="G60" s="9"/>
      <c r="H60" s="9"/>
    </row>
    <row r="61" spans="1:8" x14ac:dyDescent="0.45">
      <c r="A61" s="7">
        <v>46202</v>
      </c>
      <c r="B61" s="6" t="s">
        <v>173</v>
      </c>
      <c r="C61" s="6" t="s">
        <v>184</v>
      </c>
      <c r="D61" s="6"/>
      <c r="E61" s="6"/>
      <c r="F61" s="6"/>
      <c r="G61" s="6"/>
      <c r="H61" s="6"/>
    </row>
    <row r="62" spans="1:8" x14ac:dyDescent="0.45">
      <c r="A62" s="7">
        <v>46203</v>
      </c>
      <c r="B62" s="6" t="s">
        <v>175</v>
      </c>
      <c r="C62" s="6" t="s">
        <v>184</v>
      </c>
      <c r="D62" s="6"/>
      <c r="E62" s="6"/>
      <c r="F62" s="6"/>
      <c r="G62" s="6"/>
      <c r="H62" s="6"/>
    </row>
    <row r="63" spans="1:8" x14ac:dyDescent="0.45">
      <c r="A63" s="7">
        <v>46204</v>
      </c>
      <c r="B63" s="6" t="s">
        <v>176</v>
      </c>
      <c r="C63" s="6" t="s">
        <v>184</v>
      </c>
      <c r="D63" s="6"/>
      <c r="E63" s="6"/>
      <c r="F63" s="6"/>
      <c r="G63" s="6"/>
      <c r="H63" s="6"/>
    </row>
    <row r="64" spans="1:8" x14ac:dyDescent="0.45">
      <c r="A64" s="7">
        <v>46205</v>
      </c>
      <c r="B64" s="6" t="s">
        <v>177</v>
      </c>
      <c r="C64" s="6" t="s">
        <v>184</v>
      </c>
      <c r="D64" s="6"/>
      <c r="E64" s="6"/>
      <c r="F64" s="6"/>
      <c r="G64" s="6"/>
      <c r="H64" s="6"/>
    </row>
    <row r="65" spans="1:8" x14ac:dyDescent="0.45">
      <c r="A65" s="7">
        <v>46206</v>
      </c>
      <c r="B65" s="6" t="s">
        <v>178</v>
      </c>
      <c r="C65" s="6" t="s">
        <v>184</v>
      </c>
      <c r="D65" s="6"/>
      <c r="E65" s="6"/>
      <c r="F65" s="6"/>
      <c r="G65" s="6"/>
      <c r="H65" s="6"/>
    </row>
    <row r="66" spans="1:8" x14ac:dyDescent="0.45">
      <c r="A66" s="7">
        <v>46207</v>
      </c>
      <c r="B66" s="6" t="s">
        <v>179</v>
      </c>
      <c r="C66" s="6" t="s">
        <v>184</v>
      </c>
      <c r="D66" s="6"/>
      <c r="E66" s="6"/>
      <c r="F66" s="6"/>
      <c r="G66" s="6"/>
      <c r="H66" s="6"/>
    </row>
    <row r="67" spans="1:8" x14ac:dyDescent="0.45">
      <c r="A67" s="8">
        <v>46208</v>
      </c>
      <c r="B67" s="9" t="s">
        <v>180</v>
      </c>
      <c r="C67" s="9" t="s">
        <v>184</v>
      </c>
      <c r="D67" s="9"/>
      <c r="E67" s="9" t="s">
        <v>181</v>
      </c>
      <c r="F67" s="9"/>
      <c r="G67" s="9"/>
      <c r="H67" s="9"/>
    </row>
    <row r="68" spans="1:8" x14ac:dyDescent="0.45">
      <c r="A68" s="7">
        <v>46209</v>
      </c>
      <c r="B68" s="6" t="s">
        <v>173</v>
      </c>
      <c r="C68" s="6" t="s">
        <v>185</v>
      </c>
      <c r="D68" s="6"/>
      <c r="E68" s="6"/>
      <c r="F68" s="6"/>
      <c r="G68" s="6"/>
      <c r="H68" s="6"/>
    </row>
    <row r="69" spans="1:8" x14ac:dyDescent="0.45">
      <c r="A69" s="7">
        <v>46210</v>
      </c>
      <c r="B69" s="6" t="s">
        <v>175</v>
      </c>
      <c r="C69" s="6" t="s">
        <v>185</v>
      </c>
      <c r="D69" s="6"/>
      <c r="E69" s="6"/>
      <c r="F69" s="6"/>
      <c r="G69" s="6"/>
      <c r="H69" s="6"/>
    </row>
    <row r="70" spans="1:8" x14ac:dyDescent="0.45">
      <c r="A70" s="7">
        <v>46211</v>
      </c>
      <c r="B70" s="6" t="s">
        <v>176</v>
      </c>
      <c r="C70" s="6" t="s">
        <v>185</v>
      </c>
      <c r="D70" s="6"/>
      <c r="E70" s="6"/>
      <c r="F70" s="6"/>
      <c r="G70" s="6"/>
      <c r="H70" s="6"/>
    </row>
    <row r="71" spans="1:8" x14ac:dyDescent="0.45">
      <c r="A71" s="7">
        <v>46212</v>
      </c>
      <c r="B71" s="6" t="s">
        <v>177</v>
      </c>
      <c r="C71" s="6" t="s">
        <v>185</v>
      </c>
      <c r="D71" s="6"/>
      <c r="E71" s="6"/>
      <c r="F71" s="6"/>
      <c r="G71" s="6"/>
      <c r="H71" s="6"/>
    </row>
    <row r="72" spans="1:8" x14ac:dyDescent="0.45">
      <c r="A72" s="7">
        <v>46213</v>
      </c>
      <c r="B72" s="6" t="s">
        <v>178</v>
      </c>
      <c r="C72" s="6" t="s">
        <v>185</v>
      </c>
      <c r="D72" s="6"/>
      <c r="E72" s="6"/>
      <c r="F72" s="6"/>
      <c r="G72" s="6"/>
      <c r="H72" s="6"/>
    </row>
    <row r="73" spans="1:8" x14ac:dyDescent="0.45">
      <c r="A73" s="7">
        <v>46214</v>
      </c>
      <c r="B73" s="6" t="s">
        <v>179</v>
      </c>
      <c r="C73" s="6" t="s">
        <v>185</v>
      </c>
      <c r="D73" s="6"/>
      <c r="E73" s="6"/>
      <c r="F73" s="6"/>
      <c r="G73" s="6"/>
      <c r="H73" s="6"/>
    </row>
    <row r="74" spans="1:8" x14ac:dyDescent="0.45">
      <c r="A74" s="8">
        <v>46215</v>
      </c>
      <c r="B74" s="9" t="s">
        <v>180</v>
      </c>
      <c r="C74" s="9" t="s">
        <v>185</v>
      </c>
      <c r="D74" s="9"/>
      <c r="E74" s="9" t="s">
        <v>181</v>
      </c>
      <c r="F74" s="9"/>
      <c r="G74" s="9"/>
      <c r="H74" s="9"/>
    </row>
    <row r="75" spans="1:8" x14ac:dyDescent="0.45">
      <c r="A75" s="7">
        <v>46216</v>
      </c>
      <c r="B75" s="6" t="s">
        <v>173</v>
      </c>
      <c r="C75" s="6" t="s">
        <v>185</v>
      </c>
      <c r="D75" s="6"/>
      <c r="E75" s="6"/>
      <c r="F75" s="6"/>
      <c r="G75" s="6"/>
      <c r="H75" s="6"/>
    </row>
    <row r="76" spans="1:8" x14ac:dyDescent="0.45">
      <c r="A76" s="7">
        <v>46217</v>
      </c>
      <c r="B76" s="6" t="s">
        <v>175</v>
      </c>
      <c r="C76" s="6" t="s">
        <v>185</v>
      </c>
      <c r="D76" s="6"/>
      <c r="E76" s="6"/>
      <c r="F76" s="6"/>
      <c r="G76" s="6"/>
      <c r="H76" s="6"/>
    </row>
    <row r="77" spans="1:8" x14ac:dyDescent="0.45">
      <c r="A77" s="7">
        <v>46218</v>
      </c>
      <c r="B77" s="6" t="s">
        <v>176</v>
      </c>
      <c r="C77" s="6" t="s">
        <v>185</v>
      </c>
      <c r="D77" s="6"/>
      <c r="E77" s="6"/>
      <c r="F77" s="6"/>
      <c r="G77" s="6"/>
      <c r="H77" s="6"/>
    </row>
    <row r="78" spans="1:8" x14ac:dyDescent="0.45">
      <c r="A78" s="7">
        <v>46219</v>
      </c>
      <c r="B78" s="6" t="s">
        <v>177</v>
      </c>
      <c r="C78" s="6" t="s">
        <v>185</v>
      </c>
      <c r="D78" s="6"/>
      <c r="E78" s="6"/>
      <c r="F78" s="6"/>
      <c r="G78" s="6"/>
      <c r="H78" s="6"/>
    </row>
    <row r="79" spans="1:8" x14ac:dyDescent="0.45">
      <c r="A79" s="7">
        <v>46220</v>
      </c>
      <c r="B79" s="6" t="s">
        <v>178</v>
      </c>
      <c r="C79" s="6" t="s">
        <v>185</v>
      </c>
      <c r="D79" s="6"/>
      <c r="E79" s="6"/>
      <c r="F79" s="6"/>
      <c r="G79" s="6"/>
      <c r="H79" s="6"/>
    </row>
    <row r="80" spans="1:8" x14ac:dyDescent="0.45">
      <c r="A80" s="7">
        <v>46221</v>
      </c>
      <c r="B80" s="6" t="s">
        <v>179</v>
      </c>
      <c r="C80" s="6" t="s">
        <v>185</v>
      </c>
      <c r="D80" s="6"/>
      <c r="E80" s="6"/>
      <c r="F80" s="6"/>
      <c r="G80" s="6"/>
      <c r="H80" s="6"/>
    </row>
    <row r="81" spans="1:8" x14ac:dyDescent="0.45">
      <c r="A81" s="8">
        <v>46222</v>
      </c>
      <c r="B81" s="9" t="s">
        <v>180</v>
      </c>
      <c r="C81" s="9" t="s">
        <v>185</v>
      </c>
      <c r="D81" s="9"/>
      <c r="E81" s="9" t="s">
        <v>181</v>
      </c>
      <c r="F81" s="9"/>
      <c r="G81" s="9"/>
      <c r="H81" s="9"/>
    </row>
    <row r="82" spans="1:8" x14ac:dyDescent="0.45">
      <c r="A82" s="7">
        <v>46223</v>
      </c>
      <c r="B82" s="6" t="s">
        <v>173</v>
      </c>
      <c r="C82" s="6" t="s">
        <v>186</v>
      </c>
      <c r="D82" s="6"/>
      <c r="E82" s="6"/>
      <c r="F82" s="6"/>
      <c r="G82" s="6"/>
      <c r="H82" s="6"/>
    </row>
    <row r="83" spans="1:8" x14ac:dyDescent="0.45">
      <c r="A83" s="7">
        <v>46224</v>
      </c>
      <c r="B83" s="6" t="s">
        <v>175</v>
      </c>
      <c r="C83" s="6" t="s">
        <v>186</v>
      </c>
      <c r="D83" s="6"/>
      <c r="E83" s="6"/>
      <c r="F83" s="6"/>
      <c r="G83" s="6"/>
      <c r="H83" s="6"/>
    </row>
    <row r="84" spans="1:8" x14ac:dyDescent="0.45">
      <c r="A84" s="7">
        <v>46225</v>
      </c>
      <c r="B84" s="6" t="s">
        <v>176</v>
      </c>
      <c r="C84" s="6" t="s">
        <v>186</v>
      </c>
      <c r="D84" s="6"/>
      <c r="E84" s="6"/>
      <c r="F84" s="6"/>
      <c r="G84" s="6"/>
      <c r="H84" s="6"/>
    </row>
    <row r="85" spans="1:8" x14ac:dyDescent="0.45">
      <c r="A85" s="7">
        <v>46226</v>
      </c>
      <c r="B85" s="6" t="s">
        <v>177</v>
      </c>
      <c r="C85" s="6" t="s">
        <v>186</v>
      </c>
      <c r="D85" s="6"/>
      <c r="E85" s="6"/>
      <c r="F85" s="6"/>
      <c r="G85" s="6"/>
      <c r="H85" s="6"/>
    </row>
    <row r="86" spans="1:8" x14ac:dyDescent="0.45">
      <c r="A86" s="7">
        <v>46227</v>
      </c>
      <c r="B86" s="6" t="s">
        <v>178</v>
      </c>
      <c r="C86" s="6" t="s">
        <v>187</v>
      </c>
      <c r="D86" s="6"/>
      <c r="E86" s="6"/>
      <c r="F86" s="6"/>
      <c r="G86" s="6"/>
      <c r="H86" s="6"/>
    </row>
    <row r="87" spans="1:8" x14ac:dyDescent="0.45">
      <c r="A87" s="7">
        <v>46228</v>
      </c>
      <c r="B87" s="6" t="s">
        <v>179</v>
      </c>
      <c r="C87" s="6" t="s">
        <v>187</v>
      </c>
      <c r="D87" s="6"/>
      <c r="E87" s="6"/>
      <c r="F87" s="6"/>
      <c r="G87" s="6"/>
      <c r="H87" s="6"/>
    </row>
    <row r="88" spans="1:8" x14ac:dyDescent="0.45">
      <c r="A88" s="8">
        <v>46229</v>
      </c>
      <c r="B88" s="9" t="s">
        <v>180</v>
      </c>
      <c r="C88" s="9" t="s">
        <v>187</v>
      </c>
      <c r="D88" s="9"/>
      <c r="E88" s="9" t="s">
        <v>181</v>
      </c>
      <c r="F88" s="9"/>
      <c r="G88" s="9"/>
      <c r="H88" s="9"/>
    </row>
    <row r="89" spans="1:8" x14ac:dyDescent="0.45">
      <c r="A89" s="7">
        <v>46230</v>
      </c>
      <c r="B89" s="6" t="s">
        <v>173</v>
      </c>
      <c r="C89" s="6" t="s">
        <v>187</v>
      </c>
      <c r="D89" s="6"/>
      <c r="E89" s="6"/>
      <c r="F89" s="6"/>
      <c r="G89" s="6"/>
      <c r="H89" s="6"/>
    </row>
    <row r="90" spans="1:8" x14ac:dyDescent="0.45">
      <c r="A90" s="7">
        <v>46231</v>
      </c>
      <c r="B90" s="6" t="s">
        <v>175</v>
      </c>
      <c r="C90" s="6" t="s">
        <v>187</v>
      </c>
      <c r="D90" s="6"/>
      <c r="E90" s="6"/>
      <c r="F90" s="6"/>
      <c r="G90" s="6"/>
      <c r="H90" s="6"/>
    </row>
    <row r="91" spans="1:8" x14ac:dyDescent="0.45">
      <c r="A91" s="7">
        <v>46232</v>
      </c>
      <c r="B91" s="6" t="s">
        <v>176</v>
      </c>
      <c r="C91" s="6" t="s">
        <v>187</v>
      </c>
      <c r="D91" s="6"/>
      <c r="E91" s="6"/>
      <c r="F91" s="6"/>
      <c r="G91" s="6"/>
      <c r="H91" s="6"/>
    </row>
    <row r="92" spans="1:8" x14ac:dyDescent="0.45">
      <c r="A92" s="7">
        <v>46233</v>
      </c>
      <c r="B92" s="6" t="s">
        <v>177</v>
      </c>
      <c r="C92" s="6" t="s">
        <v>187</v>
      </c>
      <c r="D92" s="6"/>
      <c r="E92" s="6"/>
      <c r="F92" s="6"/>
      <c r="G92" s="6"/>
      <c r="H92" s="6"/>
    </row>
    <row r="93" spans="1:8" x14ac:dyDescent="0.45">
      <c r="A93" s="7">
        <v>46234</v>
      </c>
      <c r="B93" s="6" t="s">
        <v>178</v>
      </c>
      <c r="C93" s="6" t="s">
        <v>187</v>
      </c>
      <c r="D93" s="6"/>
      <c r="E93" s="6"/>
      <c r="F93" s="6"/>
      <c r="G93" s="6"/>
      <c r="H93" s="6"/>
    </row>
    <row r="94" spans="1:8" x14ac:dyDescent="0.45">
      <c r="A94" s="7">
        <v>46235</v>
      </c>
      <c r="B94" s="6" t="s">
        <v>179</v>
      </c>
      <c r="C94" s="6" t="s">
        <v>187</v>
      </c>
      <c r="D94" s="6"/>
      <c r="E94" s="6"/>
      <c r="F94" s="6"/>
      <c r="G94" s="6"/>
      <c r="H94" s="6"/>
    </row>
    <row r="95" spans="1:8" x14ac:dyDescent="0.45">
      <c r="A95" s="8">
        <v>46236</v>
      </c>
      <c r="B95" s="9" t="s">
        <v>180</v>
      </c>
      <c r="C95" s="9" t="s">
        <v>187</v>
      </c>
      <c r="D95" s="9"/>
      <c r="E95" s="9" t="s">
        <v>181</v>
      </c>
      <c r="F95" s="9"/>
      <c r="G95" s="9"/>
      <c r="H95" s="9"/>
    </row>
    <row r="96" spans="1:8" ht="28.5" x14ac:dyDescent="0.45">
      <c r="A96" s="7">
        <v>46237</v>
      </c>
      <c r="B96" s="6" t="s">
        <v>173</v>
      </c>
      <c r="C96" s="6" t="s">
        <v>188</v>
      </c>
      <c r="D96" s="6"/>
      <c r="E96" s="6"/>
      <c r="F96" s="6"/>
      <c r="G96" s="6"/>
      <c r="H96" s="6"/>
    </row>
    <row r="97" spans="1:8" ht="28.5" x14ac:dyDescent="0.45">
      <c r="A97" s="7">
        <v>46238</v>
      </c>
      <c r="B97" s="6" t="s">
        <v>175</v>
      </c>
      <c r="C97" s="6" t="s">
        <v>188</v>
      </c>
      <c r="D97" s="6"/>
      <c r="E97" s="6"/>
      <c r="F97" s="6"/>
      <c r="G97" s="6"/>
      <c r="H97" s="6"/>
    </row>
    <row r="98" spans="1:8" ht="28.5" x14ac:dyDescent="0.45">
      <c r="A98" s="7">
        <v>46239</v>
      </c>
      <c r="B98" s="6" t="s">
        <v>176</v>
      </c>
      <c r="C98" s="6" t="s">
        <v>188</v>
      </c>
      <c r="D98" s="6"/>
      <c r="E98" s="6"/>
      <c r="F98" s="6"/>
      <c r="G98" s="6"/>
      <c r="H98" s="6"/>
    </row>
    <row r="99" spans="1:8" ht="28.5" x14ac:dyDescent="0.45">
      <c r="A99" s="7">
        <v>46240</v>
      </c>
      <c r="B99" s="6" t="s">
        <v>177</v>
      </c>
      <c r="C99" s="6" t="s">
        <v>188</v>
      </c>
      <c r="D99" s="6"/>
      <c r="E99" s="6"/>
      <c r="F99" s="6"/>
      <c r="G99" s="6"/>
      <c r="H99" s="6"/>
    </row>
    <row r="100" spans="1:8" ht="28.5" x14ac:dyDescent="0.45">
      <c r="A100" s="7">
        <v>46241</v>
      </c>
      <c r="B100" s="6" t="s">
        <v>178</v>
      </c>
      <c r="C100" s="6" t="s">
        <v>188</v>
      </c>
      <c r="D100" s="6"/>
      <c r="E100" s="6"/>
      <c r="F100" s="6"/>
      <c r="G100" s="6"/>
      <c r="H100" s="6"/>
    </row>
    <row r="101" spans="1:8" ht="28.5" x14ac:dyDescent="0.45">
      <c r="A101" s="7">
        <v>46242</v>
      </c>
      <c r="B101" s="6" t="s">
        <v>179</v>
      </c>
      <c r="C101" s="6" t="s">
        <v>188</v>
      </c>
      <c r="D101" s="6"/>
      <c r="E101" s="6"/>
      <c r="F101" s="6"/>
      <c r="G101" s="6"/>
      <c r="H101" s="6"/>
    </row>
    <row r="102" spans="1:8" ht="28.5" x14ac:dyDescent="0.45">
      <c r="A102" s="8">
        <v>46243</v>
      </c>
      <c r="B102" s="9" t="s">
        <v>180</v>
      </c>
      <c r="C102" s="9" t="s">
        <v>188</v>
      </c>
      <c r="D102" s="9"/>
      <c r="E102" s="9" t="s">
        <v>181</v>
      </c>
      <c r="F102" s="9"/>
      <c r="G102" s="9"/>
      <c r="H102" s="9"/>
    </row>
    <row r="103" spans="1:8" ht="28.5" x14ac:dyDescent="0.45">
      <c r="A103" s="7">
        <v>46244</v>
      </c>
      <c r="B103" s="6" t="s">
        <v>173</v>
      </c>
      <c r="C103" s="6" t="s">
        <v>188</v>
      </c>
      <c r="D103" s="6"/>
      <c r="E103" s="6"/>
      <c r="F103" s="6"/>
      <c r="G103" s="6"/>
      <c r="H103" s="6"/>
    </row>
    <row r="104" spans="1:8" ht="28.5" x14ac:dyDescent="0.45">
      <c r="A104" s="7">
        <v>46245</v>
      </c>
      <c r="B104" s="6" t="s">
        <v>175</v>
      </c>
      <c r="C104" s="6" t="s">
        <v>188</v>
      </c>
      <c r="D104" s="6"/>
      <c r="E104" s="6"/>
      <c r="F104" s="6"/>
      <c r="G104" s="6"/>
      <c r="H104" s="6"/>
    </row>
    <row r="105" spans="1:8" ht="28.5" x14ac:dyDescent="0.45">
      <c r="A105" s="7">
        <v>46246</v>
      </c>
      <c r="B105" s="6" t="s">
        <v>176</v>
      </c>
      <c r="C105" s="6" t="s">
        <v>188</v>
      </c>
      <c r="D105" s="6"/>
      <c r="E105" s="6"/>
      <c r="F105" s="6"/>
      <c r="G105" s="6"/>
      <c r="H105" s="6"/>
    </row>
    <row r="106" spans="1:8" ht="28.5" x14ac:dyDescent="0.45">
      <c r="A106" s="7">
        <v>46247</v>
      </c>
      <c r="B106" s="6" t="s">
        <v>177</v>
      </c>
      <c r="C106" s="6" t="s">
        <v>188</v>
      </c>
      <c r="D106" s="6"/>
      <c r="E106" s="6"/>
      <c r="F106" s="6"/>
      <c r="G106" s="6"/>
      <c r="H106" s="6"/>
    </row>
    <row r="107" spans="1:8" ht="28.5" x14ac:dyDescent="0.45">
      <c r="A107" s="7">
        <v>46248</v>
      </c>
      <c r="B107" s="6" t="s">
        <v>178</v>
      </c>
      <c r="C107" s="6" t="s">
        <v>188</v>
      </c>
      <c r="D107" s="6"/>
      <c r="E107" s="6"/>
      <c r="F107" s="6"/>
      <c r="G107" s="6"/>
      <c r="H107" s="6"/>
    </row>
    <row r="108" spans="1:8" ht="28.5" x14ac:dyDescent="0.45">
      <c r="A108" s="7">
        <v>46249</v>
      </c>
      <c r="B108" s="6" t="s">
        <v>179</v>
      </c>
      <c r="C108" s="6" t="s">
        <v>188</v>
      </c>
      <c r="D108" s="6"/>
      <c r="E108" s="6"/>
      <c r="F108" s="6"/>
      <c r="G108" s="6"/>
      <c r="H108" s="6"/>
    </row>
    <row r="109" spans="1:8" ht="28.5" x14ac:dyDescent="0.45">
      <c r="A109" s="8">
        <v>46250</v>
      </c>
      <c r="B109" s="9" t="s">
        <v>180</v>
      </c>
      <c r="C109" s="9" t="s">
        <v>188</v>
      </c>
      <c r="D109" s="9"/>
      <c r="E109" s="9" t="s">
        <v>181</v>
      </c>
      <c r="F109" s="9"/>
      <c r="G109" s="9"/>
      <c r="H109" s="9"/>
    </row>
    <row r="110" spans="1:8" x14ac:dyDescent="0.45">
      <c r="A110" s="7">
        <v>46251</v>
      </c>
      <c r="B110" s="6" t="s">
        <v>173</v>
      </c>
      <c r="C110" s="6" t="s">
        <v>189</v>
      </c>
      <c r="D110" s="6"/>
      <c r="E110" s="6"/>
      <c r="F110" s="6"/>
      <c r="G110" s="6"/>
      <c r="H110" s="6"/>
    </row>
    <row r="111" spans="1:8" x14ac:dyDescent="0.45">
      <c r="A111" s="7">
        <v>46252</v>
      </c>
      <c r="B111" s="6" t="s">
        <v>175</v>
      </c>
      <c r="C111" s="6" t="s">
        <v>189</v>
      </c>
      <c r="D111" s="6"/>
      <c r="E111" s="6"/>
      <c r="F111" s="6"/>
      <c r="G111" s="6"/>
      <c r="H111" s="6"/>
    </row>
    <row r="112" spans="1:8" x14ac:dyDescent="0.45">
      <c r="A112" s="7">
        <v>46253</v>
      </c>
      <c r="B112" s="6" t="s">
        <v>176</v>
      </c>
      <c r="C112" s="6" t="s">
        <v>189</v>
      </c>
      <c r="D112" s="6"/>
      <c r="E112" s="6"/>
      <c r="F112" s="6"/>
      <c r="G112" s="6"/>
      <c r="H112" s="6"/>
    </row>
    <row r="113" spans="1:8" x14ac:dyDescent="0.45">
      <c r="A113" s="7">
        <v>46254</v>
      </c>
      <c r="B113" s="6" t="s">
        <v>177</v>
      </c>
      <c r="C113" s="6" t="s">
        <v>189</v>
      </c>
      <c r="D113" s="6"/>
      <c r="E113" s="6"/>
      <c r="F113" s="6"/>
      <c r="G113" s="6"/>
      <c r="H113" s="6"/>
    </row>
    <row r="114" spans="1:8" x14ac:dyDescent="0.45">
      <c r="A114" s="7">
        <v>46255</v>
      </c>
      <c r="B114" s="6" t="s">
        <v>178</v>
      </c>
      <c r="C114" s="6" t="s">
        <v>189</v>
      </c>
      <c r="D114" s="6"/>
      <c r="E114" s="6"/>
      <c r="F114" s="6"/>
      <c r="G114" s="6"/>
      <c r="H114" s="6"/>
    </row>
    <row r="115" spans="1:8" x14ac:dyDescent="0.45">
      <c r="A115" s="7">
        <v>46256</v>
      </c>
      <c r="B115" s="6" t="s">
        <v>179</v>
      </c>
      <c r="C115" s="6" t="s">
        <v>189</v>
      </c>
      <c r="D115" s="6"/>
      <c r="E115" s="6"/>
      <c r="F115" s="6"/>
      <c r="G115" s="6"/>
      <c r="H115" s="6"/>
    </row>
    <row r="116" spans="1:8" x14ac:dyDescent="0.45">
      <c r="A116" s="8">
        <v>46257</v>
      </c>
      <c r="B116" s="9" t="s">
        <v>180</v>
      </c>
      <c r="C116" s="9" t="s">
        <v>189</v>
      </c>
      <c r="D116" s="9"/>
      <c r="E116" s="9" t="s">
        <v>181</v>
      </c>
      <c r="F116" s="9"/>
      <c r="G116" s="9"/>
      <c r="H116" s="9"/>
    </row>
    <row r="117" spans="1:8" x14ac:dyDescent="0.45">
      <c r="A117" s="7">
        <v>46258</v>
      </c>
      <c r="B117" s="6" t="s">
        <v>173</v>
      </c>
      <c r="C117" s="6" t="s">
        <v>189</v>
      </c>
      <c r="D117" s="6"/>
      <c r="E117" s="6"/>
      <c r="F117" s="6"/>
      <c r="G117" s="6"/>
      <c r="H117" s="6"/>
    </row>
    <row r="118" spans="1:8" x14ac:dyDescent="0.45">
      <c r="A118" s="7">
        <v>46259</v>
      </c>
      <c r="B118" s="6" t="s">
        <v>175</v>
      </c>
      <c r="C118" s="6" t="s">
        <v>189</v>
      </c>
      <c r="D118" s="6"/>
      <c r="E118" s="6"/>
      <c r="F118" s="6"/>
      <c r="G118" s="6"/>
      <c r="H118" s="6"/>
    </row>
    <row r="119" spans="1:8" x14ac:dyDescent="0.45">
      <c r="A119" s="7">
        <v>46260</v>
      </c>
      <c r="B119" s="6" t="s">
        <v>176</v>
      </c>
      <c r="C119" s="6" t="s">
        <v>189</v>
      </c>
      <c r="D119" s="6"/>
      <c r="E119" s="6"/>
      <c r="F119" s="6"/>
      <c r="G119" s="6"/>
      <c r="H119" s="6"/>
    </row>
    <row r="120" spans="1:8" x14ac:dyDescent="0.45">
      <c r="A120" s="7">
        <v>46261</v>
      </c>
      <c r="B120" s="6" t="s">
        <v>177</v>
      </c>
      <c r="C120" s="6" t="s">
        <v>189</v>
      </c>
      <c r="D120" s="6"/>
      <c r="E120" s="6"/>
      <c r="F120" s="6"/>
      <c r="G120" s="6"/>
      <c r="H120" s="6"/>
    </row>
    <row r="121" spans="1:8" x14ac:dyDescent="0.45">
      <c r="A121" s="7">
        <v>46262</v>
      </c>
      <c r="B121" s="6" t="s">
        <v>178</v>
      </c>
      <c r="C121" s="6" t="s">
        <v>189</v>
      </c>
      <c r="D121" s="6"/>
      <c r="E121" s="6"/>
      <c r="F121" s="6"/>
      <c r="G121" s="6"/>
      <c r="H121" s="6"/>
    </row>
    <row r="122" spans="1:8" x14ac:dyDescent="0.45">
      <c r="A122" s="7">
        <v>46263</v>
      </c>
      <c r="B122" s="6" t="s">
        <v>179</v>
      </c>
      <c r="C122" s="6" t="s">
        <v>189</v>
      </c>
      <c r="D122" s="6"/>
      <c r="E122" s="6"/>
      <c r="F122" s="6"/>
      <c r="G122" s="6"/>
      <c r="H122" s="6"/>
    </row>
    <row r="123" spans="1:8" x14ac:dyDescent="0.45">
      <c r="A123" s="8">
        <v>46264</v>
      </c>
      <c r="B123" s="9" t="s">
        <v>180</v>
      </c>
      <c r="C123" s="9" t="s">
        <v>189</v>
      </c>
      <c r="D123" s="9"/>
      <c r="E123" s="9" t="s">
        <v>181</v>
      </c>
      <c r="F123" s="9"/>
      <c r="G123" s="9"/>
      <c r="H123" s="9"/>
    </row>
    <row r="124" spans="1:8" x14ac:dyDescent="0.45">
      <c r="A124" s="7">
        <v>46265</v>
      </c>
      <c r="B124" s="6" t="s">
        <v>173</v>
      </c>
      <c r="C124" s="6" t="s">
        <v>189</v>
      </c>
      <c r="D124" s="6"/>
      <c r="E124" s="6"/>
      <c r="F124" s="6"/>
      <c r="G124" s="6"/>
      <c r="H124" s="6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6" customWidth="1"/>
    <col min="2" max="2" width="14" customWidth="1"/>
    <col min="3" max="3" width="22" customWidth="1"/>
    <col min="4" max="5" width="12" customWidth="1"/>
    <col min="6" max="7" width="40" customWidth="1"/>
    <col min="8" max="8" width="12" customWidth="1"/>
    <col min="9" max="9" width="40" customWidth="1"/>
  </cols>
  <sheetData>
    <row r="1" spans="1:9" ht="24" customHeight="1" x14ac:dyDescent="0.65">
      <c r="A1" s="14" t="s">
        <v>190</v>
      </c>
      <c r="B1" s="13"/>
      <c r="C1" s="13"/>
      <c r="D1" s="13"/>
      <c r="E1" s="13"/>
      <c r="F1" s="13"/>
      <c r="G1" s="13"/>
      <c r="H1" s="13"/>
      <c r="I1" s="13"/>
    </row>
    <row r="2" spans="1:9" ht="18" customHeight="1" x14ac:dyDescent="0.45">
      <c r="A2" s="12" t="s">
        <v>191</v>
      </c>
      <c r="B2" s="13"/>
      <c r="C2" s="13"/>
      <c r="D2" s="13"/>
      <c r="E2" s="13"/>
      <c r="F2" s="13"/>
      <c r="G2" s="13"/>
      <c r="H2" s="13"/>
      <c r="I2" s="13"/>
    </row>
    <row r="4" spans="1:9" ht="28.5" x14ac:dyDescent="0.45">
      <c r="A4" s="5" t="s">
        <v>192</v>
      </c>
      <c r="B4" s="5" t="s">
        <v>193</v>
      </c>
      <c r="C4" s="5" t="s">
        <v>167</v>
      </c>
      <c r="D4" s="5" t="s">
        <v>194</v>
      </c>
      <c r="E4" s="5" t="s">
        <v>195</v>
      </c>
      <c r="F4" s="5" t="s">
        <v>196</v>
      </c>
      <c r="G4" s="5" t="s">
        <v>197</v>
      </c>
      <c r="H4" s="5" t="s">
        <v>198</v>
      </c>
      <c r="I4" s="5" t="s">
        <v>199</v>
      </c>
    </row>
    <row r="5" spans="1:9" ht="28.5" x14ac:dyDescent="0.45">
      <c r="A5" s="6">
        <v>1</v>
      </c>
      <c r="B5" s="7">
        <v>46146</v>
      </c>
      <c r="C5" s="6" t="s">
        <v>174</v>
      </c>
      <c r="D5" s="6">
        <v>36</v>
      </c>
      <c r="E5" s="6"/>
      <c r="F5" s="6"/>
      <c r="G5" s="6"/>
      <c r="H5" s="6"/>
      <c r="I5" s="6"/>
    </row>
    <row r="6" spans="1:9" ht="28.5" x14ac:dyDescent="0.45">
      <c r="A6" s="6">
        <v>2</v>
      </c>
      <c r="B6" s="7">
        <v>46153</v>
      </c>
      <c r="C6" s="6" t="s">
        <v>174</v>
      </c>
      <c r="D6" s="6">
        <v>36</v>
      </c>
      <c r="E6" s="6"/>
      <c r="F6" s="6"/>
      <c r="G6" s="6"/>
      <c r="H6" s="6"/>
      <c r="I6" s="6"/>
    </row>
    <row r="7" spans="1:9" ht="28.5" x14ac:dyDescent="0.45">
      <c r="A7" s="6">
        <v>3</v>
      </c>
      <c r="B7" s="7">
        <v>46160</v>
      </c>
      <c r="C7" s="6" t="s">
        <v>182</v>
      </c>
      <c r="D7" s="6">
        <v>36</v>
      </c>
      <c r="E7" s="6"/>
      <c r="F7" s="6"/>
      <c r="G7" s="6"/>
      <c r="H7" s="6"/>
      <c r="I7" s="6"/>
    </row>
    <row r="8" spans="1:9" ht="28.5" x14ac:dyDescent="0.45">
      <c r="A8" s="6">
        <v>4</v>
      </c>
      <c r="B8" s="7">
        <v>46167</v>
      </c>
      <c r="C8" s="6" t="s">
        <v>182</v>
      </c>
      <c r="D8" s="6">
        <v>36</v>
      </c>
      <c r="E8" s="6"/>
      <c r="F8" s="6"/>
      <c r="G8" s="6"/>
      <c r="H8" s="6"/>
      <c r="I8" s="6"/>
    </row>
    <row r="9" spans="1:9" ht="28.5" x14ac:dyDescent="0.45">
      <c r="A9" s="6">
        <v>5</v>
      </c>
      <c r="B9" s="7">
        <v>46174</v>
      </c>
      <c r="C9" s="6" t="s">
        <v>183</v>
      </c>
      <c r="D9" s="6">
        <v>36</v>
      </c>
      <c r="E9" s="6"/>
      <c r="F9" s="6"/>
      <c r="G9" s="6"/>
      <c r="H9" s="6"/>
      <c r="I9" s="6"/>
    </row>
    <row r="10" spans="1:9" ht="28.5" x14ac:dyDescent="0.45">
      <c r="A10" s="6">
        <v>6</v>
      </c>
      <c r="B10" s="7">
        <v>46181</v>
      </c>
      <c r="C10" s="6" t="s">
        <v>183</v>
      </c>
      <c r="D10" s="6">
        <v>36</v>
      </c>
      <c r="E10" s="6"/>
      <c r="F10" s="6"/>
      <c r="G10" s="6"/>
      <c r="H10" s="6"/>
      <c r="I10" s="6"/>
    </row>
    <row r="11" spans="1:9" ht="28.5" x14ac:dyDescent="0.45">
      <c r="A11" s="6">
        <v>7</v>
      </c>
      <c r="B11" s="7">
        <v>46188</v>
      </c>
      <c r="C11" s="6" t="s">
        <v>183</v>
      </c>
      <c r="D11" s="6">
        <v>36</v>
      </c>
      <c r="E11" s="6"/>
      <c r="F11" s="6"/>
      <c r="G11" s="6"/>
      <c r="H11" s="6"/>
      <c r="I11" s="6"/>
    </row>
    <row r="12" spans="1:9" x14ac:dyDescent="0.45">
      <c r="A12" s="6">
        <v>8</v>
      </c>
      <c r="B12" s="7">
        <v>46195</v>
      </c>
      <c r="C12" s="6" t="s">
        <v>184</v>
      </c>
      <c r="D12" s="6">
        <v>36</v>
      </c>
      <c r="E12" s="6"/>
      <c r="F12" s="6"/>
      <c r="G12" s="6"/>
      <c r="H12" s="6"/>
      <c r="I12" s="6"/>
    </row>
    <row r="13" spans="1:9" x14ac:dyDescent="0.45">
      <c r="A13" s="6">
        <v>9</v>
      </c>
      <c r="B13" s="7">
        <v>46202</v>
      </c>
      <c r="C13" s="6" t="s">
        <v>184</v>
      </c>
      <c r="D13" s="6">
        <v>36</v>
      </c>
      <c r="E13" s="6"/>
      <c r="F13" s="6"/>
      <c r="G13" s="6"/>
      <c r="H13" s="6"/>
      <c r="I13" s="6"/>
    </row>
    <row r="14" spans="1:9" x14ac:dyDescent="0.45">
      <c r="A14" s="6">
        <v>10</v>
      </c>
      <c r="B14" s="7">
        <v>46209</v>
      </c>
      <c r="C14" s="6" t="s">
        <v>185</v>
      </c>
      <c r="D14" s="6">
        <v>36</v>
      </c>
      <c r="E14" s="6"/>
      <c r="F14" s="6"/>
      <c r="G14" s="6"/>
      <c r="H14" s="6"/>
      <c r="I14" s="6"/>
    </row>
    <row r="15" spans="1:9" x14ac:dyDescent="0.45">
      <c r="A15" s="6">
        <v>11</v>
      </c>
      <c r="B15" s="7">
        <v>46216</v>
      </c>
      <c r="C15" s="6" t="s">
        <v>185</v>
      </c>
      <c r="D15" s="6">
        <v>36</v>
      </c>
      <c r="E15" s="6"/>
      <c r="F15" s="6"/>
      <c r="G15" s="6"/>
      <c r="H15" s="6"/>
      <c r="I15" s="6"/>
    </row>
    <row r="16" spans="1:9" x14ac:dyDescent="0.45">
      <c r="A16" s="6">
        <v>12</v>
      </c>
      <c r="B16" s="7">
        <v>46223</v>
      </c>
      <c r="C16" s="6" t="s">
        <v>186</v>
      </c>
      <c r="D16" s="6">
        <v>36</v>
      </c>
      <c r="E16" s="6"/>
      <c r="F16" s="6"/>
      <c r="G16" s="6"/>
      <c r="H16" s="6"/>
      <c r="I16" s="6"/>
    </row>
    <row r="17" spans="1:9" x14ac:dyDescent="0.45">
      <c r="A17" s="6">
        <v>13</v>
      </c>
      <c r="B17" s="7">
        <v>46230</v>
      </c>
      <c r="C17" s="6" t="s">
        <v>187</v>
      </c>
      <c r="D17" s="6">
        <v>36</v>
      </c>
      <c r="E17" s="6"/>
      <c r="F17" s="6"/>
      <c r="G17" s="6"/>
      <c r="H17" s="6"/>
      <c r="I17" s="6"/>
    </row>
    <row r="18" spans="1:9" ht="28.5" x14ac:dyDescent="0.45">
      <c r="A18" s="6">
        <v>14</v>
      </c>
      <c r="B18" s="7">
        <v>46237</v>
      </c>
      <c r="C18" s="6" t="s">
        <v>188</v>
      </c>
      <c r="D18" s="6">
        <v>36</v>
      </c>
      <c r="E18" s="6"/>
      <c r="F18" s="6"/>
      <c r="G18" s="6"/>
      <c r="H18" s="6"/>
      <c r="I18" s="6"/>
    </row>
    <row r="19" spans="1:9" ht="28.5" x14ac:dyDescent="0.45">
      <c r="A19" s="6">
        <v>15</v>
      </c>
      <c r="B19" s="7">
        <v>46244</v>
      </c>
      <c r="C19" s="6" t="s">
        <v>188</v>
      </c>
      <c r="D19" s="6">
        <v>36</v>
      </c>
      <c r="E19" s="6"/>
      <c r="F19" s="6"/>
      <c r="G19" s="6"/>
      <c r="H19" s="6"/>
      <c r="I19" s="6"/>
    </row>
    <row r="20" spans="1:9" x14ac:dyDescent="0.45">
      <c r="A20" s="6">
        <v>16</v>
      </c>
      <c r="B20" s="7">
        <v>46251</v>
      </c>
      <c r="C20" s="6" t="s">
        <v>189</v>
      </c>
      <c r="D20" s="6">
        <v>36</v>
      </c>
      <c r="E20" s="6"/>
      <c r="F20" s="6"/>
      <c r="G20" s="6"/>
      <c r="H20" s="6"/>
      <c r="I20" s="6"/>
    </row>
    <row r="21" spans="1:9" x14ac:dyDescent="0.45">
      <c r="A21" s="6">
        <v>17</v>
      </c>
      <c r="B21" s="7">
        <v>46258</v>
      </c>
      <c r="C21" s="6" t="s">
        <v>189</v>
      </c>
      <c r="D21" s="6">
        <v>36</v>
      </c>
      <c r="E21" s="6"/>
      <c r="F21" s="6"/>
      <c r="G21" s="6"/>
      <c r="H21" s="6"/>
      <c r="I21" s="6"/>
    </row>
    <row r="22" spans="1:9" x14ac:dyDescent="0.45">
      <c r="A22" s="6">
        <v>18</v>
      </c>
      <c r="B22" s="7">
        <v>46265</v>
      </c>
      <c r="C22" s="6" t="s">
        <v>189</v>
      </c>
      <c r="D22" s="6">
        <v>36</v>
      </c>
      <c r="E22" s="6"/>
      <c r="F22" s="6"/>
      <c r="G22" s="6"/>
      <c r="H22" s="6"/>
      <c r="I22" s="6"/>
    </row>
    <row r="23" spans="1:9" x14ac:dyDescent="0.45">
      <c r="A23" s="6">
        <v>19</v>
      </c>
      <c r="B23" s="7">
        <v>46272</v>
      </c>
      <c r="C23" s="6" t="s">
        <v>200</v>
      </c>
      <c r="D23" s="6">
        <v>36</v>
      </c>
      <c r="E23" s="6"/>
      <c r="F23" s="6"/>
      <c r="G23" s="6"/>
      <c r="H23" s="6"/>
      <c r="I23" s="6"/>
    </row>
    <row r="24" spans="1:9" x14ac:dyDescent="0.45">
      <c r="A24" s="6">
        <v>20</v>
      </c>
      <c r="B24" s="7">
        <v>46279</v>
      </c>
      <c r="C24" s="6" t="s">
        <v>200</v>
      </c>
      <c r="D24" s="6">
        <v>36</v>
      </c>
      <c r="E24" s="6"/>
      <c r="F24" s="6"/>
      <c r="G24" s="6"/>
      <c r="H24" s="6"/>
      <c r="I24" s="6"/>
    </row>
    <row r="25" spans="1:9" x14ac:dyDescent="0.45">
      <c r="A25" s="6">
        <v>21</v>
      </c>
      <c r="B25" s="7">
        <v>46286</v>
      </c>
      <c r="C25" s="6" t="s">
        <v>200</v>
      </c>
      <c r="D25" s="6">
        <v>36</v>
      </c>
      <c r="E25" s="6"/>
      <c r="F25" s="6"/>
      <c r="G25" s="6"/>
      <c r="H25" s="6"/>
      <c r="I25" s="6"/>
    </row>
    <row r="26" spans="1:9" x14ac:dyDescent="0.45">
      <c r="A26" s="6">
        <v>22</v>
      </c>
      <c r="B26" s="7">
        <v>46293</v>
      </c>
      <c r="C26" s="6" t="s">
        <v>200</v>
      </c>
      <c r="D26" s="6">
        <v>36</v>
      </c>
      <c r="E26" s="6"/>
      <c r="F26" s="6"/>
      <c r="G26" s="6"/>
      <c r="H26" s="6"/>
      <c r="I26" s="6"/>
    </row>
    <row r="27" spans="1:9" x14ac:dyDescent="0.45">
      <c r="A27" s="6">
        <v>23</v>
      </c>
      <c r="B27" s="7">
        <v>46300</v>
      </c>
      <c r="C27" s="6" t="s">
        <v>200</v>
      </c>
      <c r="D27" s="6">
        <v>36</v>
      </c>
      <c r="E27" s="6"/>
      <c r="F27" s="6"/>
      <c r="G27" s="6"/>
      <c r="H27" s="6"/>
      <c r="I27" s="6"/>
    </row>
    <row r="28" spans="1:9" x14ac:dyDescent="0.45">
      <c r="A28" s="6">
        <v>24</v>
      </c>
      <c r="B28" s="7">
        <v>46307</v>
      </c>
      <c r="C28" s="6" t="s">
        <v>200</v>
      </c>
      <c r="D28" s="6">
        <v>36</v>
      </c>
      <c r="E28" s="6"/>
      <c r="F28" s="6"/>
      <c r="G28" s="6"/>
      <c r="H28" s="6"/>
      <c r="I28" s="6"/>
    </row>
    <row r="29" spans="1:9" x14ac:dyDescent="0.45">
      <c r="A29" s="6">
        <v>25</v>
      </c>
      <c r="B29" s="7">
        <v>46314</v>
      </c>
      <c r="C29" s="6" t="s">
        <v>200</v>
      </c>
      <c r="D29" s="6">
        <v>36</v>
      </c>
      <c r="E29" s="6"/>
      <c r="F29" s="6"/>
      <c r="G29" s="6"/>
      <c r="H29" s="6"/>
      <c r="I29" s="6"/>
    </row>
    <row r="30" spans="1:9" x14ac:dyDescent="0.45">
      <c r="A30" s="6">
        <v>26</v>
      </c>
      <c r="B30" s="7">
        <v>46321</v>
      </c>
      <c r="C30" s="6" t="s">
        <v>200</v>
      </c>
      <c r="D30" s="6">
        <v>36</v>
      </c>
      <c r="E30" s="6"/>
      <c r="F30" s="6"/>
      <c r="G30" s="6"/>
      <c r="H30" s="6"/>
      <c r="I30" s="6"/>
    </row>
    <row r="31" spans="1:9" x14ac:dyDescent="0.45">
      <c r="A31" s="6">
        <v>27</v>
      </c>
      <c r="B31" s="7">
        <v>46328</v>
      </c>
      <c r="C31" s="6" t="s">
        <v>200</v>
      </c>
      <c r="D31" s="6">
        <v>36</v>
      </c>
      <c r="E31" s="6"/>
      <c r="F31" s="6"/>
      <c r="G31" s="6"/>
      <c r="H31" s="6"/>
      <c r="I31" s="6"/>
    </row>
    <row r="32" spans="1:9" x14ac:dyDescent="0.45">
      <c r="A32" s="6">
        <v>28</v>
      </c>
      <c r="B32" s="7">
        <v>46335</v>
      </c>
      <c r="C32" s="6" t="s">
        <v>200</v>
      </c>
      <c r="D32" s="6">
        <v>36</v>
      </c>
      <c r="E32" s="6"/>
      <c r="F32" s="6"/>
      <c r="G32" s="6"/>
      <c r="H32" s="6"/>
      <c r="I32" s="6"/>
    </row>
    <row r="33" spans="1:9" x14ac:dyDescent="0.45">
      <c r="A33" s="6">
        <v>29</v>
      </c>
      <c r="B33" s="7">
        <v>46342</v>
      </c>
      <c r="C33" s="6" t="s">
        <v>200</v>
      </c>
      <c r="D33" s="6">
        <v>36</v>
      </c>
      <c r="E33" s="6"/>
      <c r="F33" s="6"/>
      <c r="G33" s="6"/>
      <c r="H33" s="6"/>
      <c r="I33" s="6"/>
    </row>
    <row r="34" spans="1:9" x14ac:dyDescent="0.45">
      <c r="A34" s="6">
        <v>30</v>
      </c>
      <c r="B34" s="7">
        <v>46349</v>
      </c>
      <c r="C34" s="6" t="s">
        <v>200</v>
      </c>
      <c r="D34" s="6">
        <v>36</v>
      </c>
      <c r="E34" s="6"/>
      <c r="F34" s="6"/>
      <c r="G34" s="6"/>
      <c r="H34" s="6"/>
      <c r="I34" s="6"/>
    </row>
    <row r="35" spans="1:9" x14ac:dyDescent="0.45">
      <c r="A35" s="6">
        <v>31</v>
      </c>
      <c r="B35" s="7">
        <v>46356</v>
      </c>
      <c r="C35" s="6" t="s">
        <v>200</v>
      </c>
      <c r="D35" s="6">
        <v>36</v>
      </c>
      <c r="E35" s="6"/>
      <c r="F35" s="6"/>
      <c r="G35" s="6"/>
      <c r="H35" s="6"/>
      <c r="I35" s="6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2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28" customWidth="1"/>
    <col min="2" max="2" width="60" customWidth="1"/>
    <col min="3" max="4" width="14" customWidth="1"/>
    <col min="5" max="5" width="35" customWidth="1"/>
  </cols>
  <sheetData>
    <row r="1" spans="1:5" ht="24" customHeight="1" x14ac:dyDescent="0.65">
      <c r="A1" s="14" t="s">
        <v>201</v>
      </c>
      <c r="B1" s="13"/>
      <c r="C1" s="13"/>
      <c r="D1" s="13"/>
      <c r="E1" s="13"/>
    </row>
    <row r="2" spans="1:5" ht="18" customHeight="1" x14ac:dyDescent="0.45">
      <c r="A2" s="12" t="s">
        <v>202</v>
      </c>
      <c r="B2" s="13"/>
      <c r="C2" s="13"/>
      <c r="D2" s="13"/>
      <c r="E2" s="13"/>
    </row>
    <row r="4" spans="1:5" x14ac:dyDescent="0.45">
      <c r="A4" s="5" t="s">
        <v>167</v>
      </c>
      <c r="B4" s="5" t="s">
        <v>203</v>
      </c>
      <c r="C4" s="5" t="s">
        <v>204</v>
      </c>
      <c r="D4" s="5" t="s">
        <v>38</v>
      </c>
      <c r="E4" s="5" t="s">
        <v>39</v>
      </c>
    </row>
    <row r="5" spans="1:5" x14ac:dyDescent="0.45">
      <c r="A5" s="6" t="s">
        <v>174</v>
      </c>
      <c r="B5" s="6" t="s">
        <v>205</v>
      </c>
      <c r="C5" s="6" t="s">
        <v>206</v>
      </c>
      <c r="D5" s="6" t="s">
        <v>43</v>
      </c>
      <c r="E5" s="6"/>
    </row>
    <row r="6" spans="1:5" x14ac:dyDescent="0.45">
      <c r="A6" s="6" t="s">
        <v>207</v>
      </c>
      <c r="B6" s="6" t="s">
        <v>208</v>
      </c>
      <c r="C6" s="6" t="s">
        <v>206</v>
      </c>
      <c r="D6" s="6" t="s">
        <v>43</v>
      </c>
      <c r="E6" s="6"/>
    </row>
    <row r="7" spans="1:5" x14ac:dyDescent="0.45">
      <c r="A7" s="6" t="s">
        <v>207</v>
      </c>
      <c r="B7" s="6" t="s">
        <v>209</v>
      </c>
      <c r="C7" s="6" t="s">
        <v>206</v>
      </c>
      <c r="D7" s="6" t="s">
        <v>43</v>
      </c>
      <c r="E7" s="6"/>
    </row>
    <row r="8" spans="1:5" x14ac:dyDescent="0.45">
      <c r="A8" s="6" t="s">
        <v>207</v>
      </c>
      <c r="B8" s="6" t="s">
        <v>210</v>
      </c>
      <c r="C8" s="6" t="s">
        <v>211</v>
      </c>
      <c r="D8" s="6" t="s">
        <v>43</v>
      </c>
      <c r="E8" s="6"/>
    </row>
    <row r="9" spans="1:5" x14ac:dyDescent="0.45">
      <c r="A9" s="6" t="s">
        <v>207</v>
      </c>
      <c r="B9" s="6" t="s">
        <v>212</v>
      </c>
      <c r="C9" s="6" t="s">
        <v>206</v>
      </c>
      <c r="D9" s="6" t="s">
        <v>43</v>
      </c>
      <c r="E9" s="6"/>
    </row>
    <row r="10" spans="1:5" x14ac:dyDescent="0.45">
      <c r="A10" s="6" t="s">
        <v>207</v>
      </c>
      <c r="B10" s="6" t="s">
        <v>213</v>
      </c>
      <c r="C10" s="6" t="s">
        <v>206</v>
      </c>
      <c r="D10" s="6" t="s">
        <v>43</v>
      </c>
      <c r="E10" s="6"/>
    </row>
    <row r="11" spans="1:5" x14ac:dyDescent="0.45">
      <c r="A11" s="6" t="s">
        <v>182</v>
      </c>
      <c r="B11" s="6" t="s">
        <v>214</v>
      </c>
      <c r="C11" s="6" t="s">
        <v>215</v>
      </c>
      <c r="D11" s="6" t="s">
        <v>43</v>
      </c>
      <c r="E11" s="6"/>
    </row>
    <row r="12" spans="1:5" x14ac:dyDescent="0.45">
      <c r="A12" s="6" t="s">
        <v>216</v>
      </c>
      <c r="B12" s="6" t="s">
        <v>217</v>
      </c>
      <c r="C12" s="6" t="s">
        <v>215</v>
      </c>
      <c r="D12" s="6" t="s">
        <v>43</v>
      </c>
      <c r="E12" s="6"/>
    </row>
    <row r="13" spans="1:5" x14ac:dyDescent="0.45">
      <c r="A13" s="6" t="s">
        <v>216</v>
      </c>
      <c r="B13" s="6" t="s">
        <v>218</v>
      </c>
      <c r="C13" s="6" t="s">
        <v>219</v>
      </c>
      <c r="D13" s="6" t="s">
        <v>43</v>
      </c>
      <c r="E13" s="6"/>
    </row>
    <row r="14" spans="1:5" x14ac:dyDescent="0.45">
      <c r="A14" s="6" t="s">
        <v>216</v>
      </c>
      <c r="B14" s="6" t="s">
        <v>220</v>
      </c>
      <c r="C14" s="6" t="s">
        <v>219</v>
      </c>
      <c r="D14" s="6" t="s">
        <v>43</v>
      </c>
      <c r="E14" s="6"/>
    </row>
    <row r="15" spans="1:5" x14ac:dyDescent="0.45">
      <c r="A15" s="6" t="s">
        <v>216</v>
      </c>
      <c r="B15" s="6" t="s">
        <v>221</v>
      </c>
      <c r="C15" s="6" t="s">
        <v>222</v>
      </c>
      <c r="D15" s="6" t="s">
        <v>43</v>
      </c>
      <c r="E15" s="6"/>
    </row>
    <row r="16" spans="1:5" x14ac:dyDescent="0.45">
      <c r="A16" s="6" t="s">
        <v>216</v>
      </c>
      <c r="B16" s="6" t="s">
        <v>223</v>
      </c>
      <c r="C16" s="6" t="s">
        <v>215</v>
      </c>
      <c r="D16" s="6" t="s">
        <v>43</v>
      </c>
      <c r="E16" s="6"/>
    </row>
    <row r="17" spans="1:5" x14ac:dyDescent="0.45">
      <c r="A17" s="6" t="s">
        <v>216</v>
      </c>
      <c r="B17" s="6" t="s">
        <v>224</v>
      </c>
      <c r="C17" s="6" t="s">
        <v>215</v>
      </c>
      <c r="D17" s="6" t="s">
        <v>43</v>
      </c>
      <c r="E17" s="6"/>
    </row>
    <row r="18" spans="1:5" x14ac:dyDescent="0.45">
      <c r="A18" s="6" t="s">
        <v>183</v>
      </c>
      <c r="B18" s="6" t="s">
        <v>225</v>
      </c>
      <c r="C18" s="6" t="s">
        <v>226</v>
      </c>
      <c r="D18" s="6" t="s">
        <v>43</v>
      </c>
      <c r="E18" s="6"/>
    </row>
    <row r="19" spans="1:5" x14ac:dyDescent="0.45">
      <c r="A19" s="6" t="s">
        <v>227</v>
      </c>
      <c r="B19" s="6" t="s">
        <v>228</v>
      </c>
      <c r="C19" s="6" t="s">
        <v>229</v>
      </c>
      <c r="D19" s="6" t="s">
        <v>43</v>
      </c>
      <c r="E19" s="6"/>
    </row>
    <row r="20" spans="1:5" x14ac:dyDescent="0.45">
      <c r="A20" s="6" t="s">
        <v>227</v>
      </c>
      <c r="B20" s="6" t="s">
        <v>230</v>
      </c>
      <c r="C20" s="6" t="s">
        <v>231</v>
      </c>
      <c r="D20" s="6" t="s">
        <v>43</v>
      </c>
      <c r="E20" s="6"/>
    </row>
    <row r="21" spans="1:5" x14ac:dyDescent="0.45">
      <c r="A21" s="6" t="s">
        <v>227</v>
      </c>
      <c r="B21" s="6" t="s">
        <v>232</v>
      </c>
      <c r="C21" s="6" t="s">
        <v>233</v>
      </c>
      <c r="D21" s="6" t="s">
        <v>43</v>
      </c>
      <c r="E21" s="6"/>
    </row>
    <row r="22" spans="1:5" x14ac:dyDescent="0.45">
      <c r="A22" s="6" t="s">
        <v>227</v>
      </c>
      <c r="B22" s="6" t="s">
        <v>234</v>
      </c>
      <c r="C22" s="6" t="s">
        <v>233</v>
      </c>
      <c r="D22" s="6" t="s">
        <v>43</v>
      </c>
      <c r="E22" s="6"/>
    </row>
    <row r="23" spans="1:5" x14ac:dyDescent="0.45">
      <c r="A23" s="6" t="s">
        <v>227</v>
      </c>
      <c r="B23" s="6" t="s">
        <v>235</v>
      </c>
      <c r="C23" s="6" t="s">
        <v>233</v>
      </c>
      <c r="D23" s="6" t="s">
        <v>43</v>
      </c>
      <c r="E23" s="6"/>
    </row>
    <row r="24" spans="1:5" x14ac:dyDescent="0.45">
      <c r="A24" s="6" t="s">
        <v>184</v>
      </c>
      <c r="B24" s="6" t="s">
        <v>236</v>
      </c>
      <c r="C24" s="6" t="s">
        <v>237</v>
      </c>
      <c r="D24" s="6" t="s">
        <v>43</v>
      </c>
      <c r="E24" s="6"/>
    </row>
    <row r="25" spans="1:5" x14ac:dyDescent="0.45">
      <c r="A25" s="6" t="s">
        <v>238</v>
      </c>
      <c r="B25" s="6" t="s">
        <v>239</v>
      </c>
      <c r="C25" s="6" t="s">
        <v>237</v>
      </c>
      <c r="D25" s="6" t="s">
        <v>43</v>
      </c>
      <c r="E25" s="6"/>
    </row>
    <row r="26" spans="1:5" x14ac:dyDescent="0.45">
      <c r="A26" s="6" t="s">
        <v>238</v>
      </c>
      <c r="B26" s="6" t="s">
        <v>240</v>
      </c>
      <c r="C26" s="6" t="s">
        <v>237</v>
      </c>
      <c r="D26" s="6" t="s">
        <v>43</v>
      </c>
      <c r="E26" s="6"/>
    </row>
    <row r="27" spans="1:5" x14ac:dyDescent="0.45">
      <c r="A27" s="6" t="s">
        <v>238</v>
      </c>
      <c r="B27" s="6" t="s">
        <v>241</v>
      </c>
      <c r="C27" s="6" t="s">
        <v>237</v>
      </c>
      <c r="D27" s="6" t="s">
        <v>43</v>
      </c>
      <c r="E27" s="6"/>
    </row>
    <row r="28" spans="1:5" x14ac:dyDescent="0.45">
      <c r="A28" s="6" t="s">
        <v>185</v>
      </c>
      <c r="B28" s="6" t="s">
        <v>242</v>
      </c>
      <c r="C28" s="6" t="s">
        <v>243</v>
      </c>
      <c r="D28" s="6" t="s">
        <v>43</v>
      </c>
      <c r="E28" s="6"/>
    </row>
    <row r="29" spans="1:5" x14ac:dyDescent="0.45">
      <c r="A29" s="6" t="s">
        <v>244</v>
      </c>
      <c r="B29" s="6" t="s">
        <v>245</v>
      </c>
      <c r="C29" s="6" t="s">
        <v>243</v>
      </c>
      <c r="D29" s="6" t="s">
        <v>43</v>
      </c>
      <c r="E29" s="6"/>
    </row>
    <row r="30" spans="1:5" x14ac:dyDescent="0.45">
      <c r="A30" s="6" t="s">
        <v>244</v>
      </c>
      <c r="B30" s="6" t="s">
        <v>246</v>
      </c>
      <c r="C30" s="6" t="s">
        <v>243</v>
      </c>
      <c r="D30" s="6" t="s">
        <v>43</v>
      </c>
      <c r="E30" s="6"/>
    </row>
    <row r="31" spans="1:5" x14ac:dyDescent="0.45">
      <c r="A31" s="6" t="s">
        <v>244</v>
      </c>
      <c r="B31" s="6" t="s">
        <v>247</v>
      </c>
      <c r="C31" s="6" t="s">
        <v>243</v>
      </c>
      <c r="D31" s="6" t="s">
        <v>43</v>
      </c>
      <c r="E31" s="6"/>
    </row>
    <row r="32" spans="1:5" x14ac:dyDescent="0.45">
      <c r="A32" s="6" t="s">
        <v>186</v>
      </c>
      <c r="B32" s="6" t="s">
        <v>248</v>
      </c>
      <c r="C32" s="6" t="s">
        <v>249</v>
      </c>
      <c r="D32" s="6" t="s">
        <v>43</v>
      </c>
      <c r="E32" s="6"/>
    </row>
    <row r="33" spans="1:5" x14ac:dyDescent="0.45">
      <c r="A33" s="6" t="s">
        <v>250</v>
      </c>
      <c r="B33" s="6" t="s">
        <v>251</v>
      </c>
      <c r="C33" s="6" t="s">
        <v>249</v>
      </c>
      <c r="D33" s="6" t="s">
        <v>43</v>
      </c>
      <c r="E33" s="6"/>
    </row>
    <row r="34" spans="1:5" x14ac:dyDescent="0.45">
      <c r="A34" s="6" t="s">
        <v>252</v>
      </c>
      <c r="B34" s="6" t="s">
        <v>253</v>
      </c>
      <c r="C34" s="6" t="s">
        <v>254</v>
      </c>
      <c r="D34" s="6" t="s">
        <v>43</v>
      </c>
      <c r="E34" s="6"/>
    </row>
    <row r="35" spans="1:5" x14ac:dyDescent="0.45">
      <c r="A35" s="6" t="s">
        <v>255</v>
      </c>
      <c r="B35" s="6" t="s">
        <v>256</v>
      </c>
      <c r="C35" s="6" t="s">
        <v>257</v>
      </c>
      <c r="D35" s="6" t="s">
        <v>43</v>
      </c>
      <c r="E35" s="6"/>
    </row>
    <row r="36" spans="1:5" x14ac:dyDescent="0.45">
      <c r="A36" s="6" t="s">
        <v>255</v>
      </c>
      <c r="B36" s="6" t="s">
        <v>258</v>
      </c>
      <c r="C36" s="6" t="s">
        <v>257</v>
      </c>
      <c r="D36" s="6" t="s">
        <v>43</v>
      </c>
      <c r="E36" s="6"/>
    </row>
    <row r="37" spans="1:5" x14ac:dyDescent="0.45">
      <c r="A37" s="6" t="s">
        <v>255</v>
      </c>
      <c r="B37" s="6" t="s">
        <v>259</v>
      </c>
      <c r="C37" s="6" t="s">
        <v>257</v>
      </c>
      <c r="D37" s="6" t="s">
        <v>43</v>
      </c>
      <c r="E37" s="6"/>
    </row>
    <row r="38" spans="1:5" x14ac:dyDescent="0.45">
      <c r="A38" s="6" t="s">
        <v>187</v>
      </c>
      <c r="B38" s="6" t="s">
        <v>260</v>
      </c>
      <c r="C38" s="6" t="s">
        <v>257</v>
      </c>
      <c r="D38" s="6" t="s">
        <v>43</v>
      </c>
      <c r="E38" s="6"/>
    </row>
    <row r="39" spans="1:5" x14ac:dyDescent="0.45">
      <c r="A39" s="6" t="s">
        <v>261</v>
      </c>
      <c r="B39" s="6" t="s">
        <v>262</v>
      </c>
      <c r="C39" s="6" t="s">
        <v>257</v>
      </c>
      <c r="D39" s="6" t="s">
        <v>43</v>
      </c>
      <c r="E39" s="6"/>
    </row>
    <row r="40" spans="1:5" x14ac:dyDescent="0.45">
      <c r="A40" s="6" t="s">
        <v>261</v>
      </c>
      <c r="B40" s="6" t="s">
        <v>263</v>
      </c>
      <c r="C40" s="6" t="s">
        <v>257</v>
      </c>
      <c r="D40" s="6" t="s">
        <v>43</v>
      </c>
      <c r="E40" s="6"/>
    </row>
    <row r="41" spans="1:5" ht="28.5" x14ac:dyDescent="0.45">
      <c r="A41" s="6" t="s">
        <v>264</v>
      </c>
      <c r="B41" s="6" t="s">
        <v>265</v>
      </c>
      <c r="C41" s="6" t="s">
        <v>266</v>
      </c>
      <c r="D41" s="6" t="s">
        <v>43</v>
      </c>
      <c r="E41" s="6"/>
    </row>
    <row r="42" spans="1:5" x14ac:dyDescent="0.45">
      <c r="A42" s="6" t="s">
        <v>267</v>
      </c>
      <c r="B42" s="6" t="s">
        <v>268</v>
      </c>
      <c r="C42" s="6" t="s">
        <v>266</v>
      </c>
      <c r="D42" s="6" t="s">
        <v>43</v>
      </c>
      <c r="E42" s="6"/>
    </row>
    <row r="43" spans="1:5" x14ac:dyDescent="0.45">
      <c r="A43" s="6" t="s">
        <v>267</v>
      </c>
      <c r="B43" s="6" t="s">
        <v>269</v>
      </c>
      <c r="C43" s="6" t="s">
        <v>266</v>
      </c>
      <c r="D43" s="6" t="s">
        <v>43</v>
      </c>
      <c r="E43" s="6"/>
    </row>
    <row r="44" spans="1:5" x14ac:dyDescent="0.45">
      <c r="A44" s="6" t="s">
        <v>267</v>
      </c>
      <c r="B44" s="6" t="s">
        <v>270</v>
      </c>
      <c r="C44" s="6" t="s">
        <v>271</v>
      </c>
      <c r="D44" s="6" t="s">
        <v>43</v>
      </c>
      <c r="E44" s="6"/>
    </row>
    <row r="45" spans="1:5" x14ac:dyDescent="0.45">
      <c r="A45" s="6" t="s">
        <v>267</v>
      </c>
      <c r="B45" s="6" t="s">
        <v>272</v>
      </c>
      <c r="C45" s="6" t="s">
        <v>266</v>
      </c>
      <c r="D45" s="6" t="s">
        <v>43</v>
      </c>
      <c r="E45" s="6"/>
    </row>
    <row r="46" spans="1:5" x14ac:dyDescent="0.45">
      <c r="A46" s="6" t="s">
        <v>267</v>
      </c>
      <c r="B46" s="6" t="s">
        <v>273</v>
      </c>
      <c r="C46" s="6" t="s">
        <v>271</v>
      </c>
      <c r="D46" s="6" t="s">
        <v>43</v>
      </c>
      <c r="E46" s="6"/>
    </row>
    <row r="47" spans="1:5" x14ac:dyDescent="0.45">
      <c r="A47" s="6" t="s">
        <v>189</v>
      </c>
      <c r="B47" s="6" t="s">
        <v>274</v>
      </c>
      <c r="C47" s="6" t="s">
        <v>275</v>
      </c>
      <c r="D47" s="6" t="s">
        <v>43</v>
      </c>
      <c r="E47" s="6"/>
    </row>
    <row r="48" spans="1:5" x14ac:dyDescent="0.45">
      <c r="A48" s="6" t="s">
        <v>276</v>
      </c>
      <c r="B48" s="6" t="s">
        <v>277</v>
      </c>
      <c r="C48" s="6" t="s">
        <v>275</v>
      </c>
      <c r="D48" s="6" t="s">
        <v>43</v>
      </c>
      <c r="E48" s="6"/>
    </row>
    <row r="49" spans="1:5" x14ac:dyDescent="0.45">
      <c r="A49" s="6" t="s">
        <v>276</v>
      </c>
      <c r="B49" s="6" t="s">
        <v>278</v>
      </c>
      <c r="C49" s="6" t="s">
        <v>279</v>
      </c>
      <c r="D49" s="6" t="s">
        <v>43</v>
      </c>
      <c r="E49" s="6"/>
    </row>
    <row r="50" spans="1:5" x14ac:dyDescent="0.45">
      <c r="A50" s="6" t="s">
        <v>276</v>
      </c>
      <c r="B50" s="6" t="s">
        <v>280</v>
      </c>
      <c r="C50" s="6" t="s">
        <v>279</v>
      </c>
      <c r="D50" s="6" t="s">
        <v>43</v>
      </c>
      <c r="E50" s="6"/>
    </row>
    <row r="51" spans="1:5" x14ac:dyDescent="0.45">
      <c r="A51" s="6" t="s">
        <v>276</v>
      </c>
      <c r="B51" s="6" t="s">
        <v>281</v>
      </c>
      <c r="C51" s="6" t="s">
        <v>282</v>
      </c>
      <c r="D51" s="6" t="s">
        <v>43</v>
      </c>
      <c r="E51" s="6"/>
    </row>
    <row r="52" spans="1:5" x14ac:dyDescent="0.45">
      <c r="A52" s="6" t="s">
        <v>276</v>
      </c>
      <c r="B52" s="6" t="s">
        <v>283</v>
      </c>
      <c r="C52" s="6" t="s">
        <v>282</v>
      </c>
      <c r="D52" s="6" t="s">
        <v>43</v>
      </c>
      <c r="E52" s="6"/>
    </row>
  </sheetData>
  <mergeCells count="2">
    <mergeCell ref="A2:E2"/>
    <mergeCell ref="A1:E1"/>
  </mergeCells>
  <conditionalFormatting sqref="D5:D52">
    <cfRule type="cellIs" dxfId="27" priority="1" operator="equal">
      <formula>"Done"</formula>
    </cfRule>
    <cfRule type="cellIs" dxfId="26" priority="2" operator="equal">
      <formula>"In progress"</formula>
    </cfRule>
    <cfRule type="cellIs" dxfId="25" priority="3" operator="equal">
      <formula>"Slipped"</formula>
    </cfRule>
    <cfRule type="cellIs" dxfId="24" priority="4" operator="equal">
      <formula>"Not started"</formula>
    </cfRule>
  </conditionalFormatting>
  <dataValidations count="1">
    <dataValidation type="list" allowBlank="1" sqref="D5:D52" xr:uid="{00000000-0002-0000-0400-000000000000}">
      <formula1>"Not started,In progress,Done,Slipped,N/A"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9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22" customWidth="1"/>
    <col min="2" max="2" width="50" customWidth="1"/>
    <col min="3" max="6" width="22" customWidth="1"/>
  </cols>
  <sheetData>
    <row r="1" spans="1:6" ht="24" customHeight="1" x14ac:dyDescent="0.65">
      <c r="A1" s="14" t="s">
        <v>284</v>
      </c>
      <c r="B1" s="13"/>
      <c r="C1" s="13"/>
      <c r="D1" s="13"/>
      <c r="E1" s="13"/>
      <c r="F1" s="13"/>
    </row>
    <row r="2" spans="1:6" ht="18" customHeight="1" x14ac:dyDescent="0.45">
      <c r="A2" s="12" t="s">
        <v>285</v>
      </c>
      <c r="B2" s="13"/>
      <c r="C2" s="13"/>
      <c r="D2" s="13"/>
      <c r="E2" s="13"/>
      <c r="F2" s="13"/>
    </row>
    <row r="4" spans="1:6" x14ac:dyDescent="0.45">
      <c r="A4" s="5" t="s">
        <v>286</v>
      </c>
      <c r="B4" s="5" t="s">
        <v>287</v>
      </c>
      <c r="C4" s="5" t="s">
        <v>288</v>
      </c>
      <c r="D4" s="5" t="s">
        <v>289</v>
      </c>
      <c r="E4" s="5" t="s">
        <v>290</v>
      </c>
      <c r="F4" s="5" t="s">
        <v>291</v>
      </c>
    </row>
    <row r="5" spans="1:6" x14ac:dyDescent="0.45">
      <c r="A5" s="6" t="s">
        <v>292</v>
      </c>
      <c r="B5" s="6" t="s">
        <v>293</v>
      </c>
      <c r="C5" s="6" t="s">
        <v>294</v>
      </c>
      <c r="D5" s="6" t="s">
        <v>295</v>
      </c>
      <c r="E5" s="6" t="s">
        <v>296</v>
      </c>
      <c r="F5" s="6" t="s">
        <v>297</v>
      </c>
    </row>
    <row r="6" spans="1:6" x14ac:dyDescent="0.45">
      <c r="A6" s="6" t="s">
        <v>292</v>
      </c>
      <c r="B6" s="6" t="s">
        <v>298</v>
      </c>
      <c r="C6" s="6" t="s">
        <v>299</v>
      </c>
      <c r="D6" s="6" t="s">
        <v>300</v>
      </c>
      <c r="E6" s="6" t="s">
        <v>301</v>
      </c>
      <c r="F6" s="6" t="s">
        <v>297</v>
      </c>
    </row>
    <row r="7" spans="1:6" x14ac:dyDescent="0.45">
      <c r="A7" s="6" t="s">
        <v>292</v>
      </c>
      <c r="B7" s="6" t="s">
        <v>302</v>
      </c>
      <c r="C7" s="6" t="s">
        <v>303</v>
      </c>
      <c r="D7" s="6" t="s">
        <v>304</v>
      </c>
      <c r="E7" s="6" t="s">
        <v>305</v>
      </c>
      <c r="F7" s="6" t="s">
        <v>297</v>
      </c>
    </row>
    <row r="8" spans="1:6" x14ac:dyDescent="0.45">
      <c r="A8" s="6" t="s">
        <v>292</v>
      </c>
      <c r="B8" s="6" t="s">
        <v>306</v>
      </c>
      <c r="C8" s="6" t="s">
        <v>307</v>
      </c>
      <c r="D8" s="6" t="s">
        <v>308</v>
      </c>
      <c r="E8" s="6" t="s">
        <v>309</v>
      </c>
      <c r="F8" s="6" t="s">
        <v>297</v>
      </c>
    </row>
    <row r="9" spans="1:6" x14ac:dyDescent="0.45">
      <c r="A9" s="6" t="s">
        <v>292</v>
      </c>
      <c r="B9" s="6" t="s">
        <v>310</v>
      </c>
      <c r="C9" s="6" t="s">
        <v>311</v>
      </c>
      <c r="D9" s="6" t="s">
        <v>312</v>
      </c>
      <c r="E9" s="6" t="s">
        <v>313</v>
      </c>
      <c r="F9" s="6" t="s">
        <v>297</v>
      </c>
    </row>
    <row r="10" spans="1:6" x14ac:dyDescent="0.45">
      <c r="A10" s="6" t="s">
        <v>292</v>
      </c>
      <c r="B10" s="6" t="s">
        <v>314</v>
      </c>
      <c r="C10" s="6" t="s">
        <v>315</v>
      </c>
      <c r="D10" s="6" t="s">
        <v>304</v>
      </c>
      <c r="E10" s="6" t="s">
        <v>316</v>
      </c>
      <c r="F10" s="6" t="s">
        <v>297</v>
      </c>
    </row>
    <row r="11" spans="1:6" x14ac:dyDescent="0.45">
      <c r="A11" s="6" t="s">
        <v>292</v>
      </c>
      <c r="B11" s="6" t="s">
        <v>317</v>
      </c>
      <c r="C11" s="6" t="s">
        <v>318</v>
      </c>
      <c r="D11" s="6" t="s">
        <v>319</v>
      </c>
      <c r="E11" s="6" t="s">
        <v>320</v>
      </c>
      <c r="F11" s="6" t="s">
        <v>297</v>
      </c>
    </row>
    <row r="12" spans="1:6" x14ac:dyDescent="0.45">
      <c r="A12" s="6" t="s">
        <v>292</v>
      </c>
      <c r="B12" s="6" t="s">
        <v>321</v>
      </c>
      <c r="C12" s="6" t="s">
        <v>322</v>
      </c>
      <c r="D12" s="6" t="s">
        <v>323</v>
      </c>
      <c r="E12" s="6" t="s">
        <v>324</v>
      </c>
      <c r="F12" s="6" t="s">
        <v>297</v>
      </c>
    </row>
    <row r="13" spans="1:6" x14ac:dyDescent="0.45">
      <c r="A13" s="6" t="s">
        <v>292</v>
      </c>
      <c r="B13" s="6" t="s">
        <v>325</v>
      </c>
      <c r="C13" s="6" t="s">
        <v>326</v>
      </c>
      <c r="D13" s="6" t="s">
        <v>327</v>
      </c>
      <c r="E13" s="6" t="s">
        <v>328</v>
      </c>
      <c r="F13" s="6" t="s">
        <v>297</v>
      </c>
    </row>
    <row r="14" spans="1:6" x14ac:dyDescent="0.45">
      <c r="A14" s="6" t="s">
        <v>292</v>
      </c>
      <c r="B14" s="6" t="s">
        <v>329</v>
      </c>
      <c r="C14" s="6" t="s">
        <v>330</v>
      </c>
      <c r="D14" s="6" t="s">
        <v>331</v>
      </c>
      <c r="E14" s="6" t="s">
        <v>332</v>
      </c>
      <c r="F14" s="6" t="s">
        <v>297</v>
      </c>
    </row>
    <row r="15" spans="1:6" x14ac:dyDescent="0.45">
      <c r="A15" s="6" t="s">
        <v>292</v>
      </c>
      <c r="B15" s="6" t="s">
        <v>333</v>
      </c>
      <c r="C15" s="6" t="s">
        <v>334</v>
      </c>
      <c r="D15" s="6" t="s">
        <v>335</v>
      </c>
      <c r="E15" s="6" t="s">
        <v>336</v>
      </c>
      <c r="F15" s="6" t="s">
        <v>297</v>
      </c>
    </row>
    <row r="16" spans="1:6" x14ac:dyDescent="0.45">
      <c r="A16" s="6" t="s">
        <v>292</v>
      </c>
      <c r="B16" s="6" t="s">
        <v>337</v>
      </c>
      <c r="C16" s="6" t="s">
        <v>338</v>
      </c>
      <c r="D16" s="6" t="s">
        <v>339</v>
      </c>
      <c r="E16" s="6" t="s">
        <v>340</v>
      </c>
      <c r="F16" s="6" t="s">
        <v>297</v>
      </c>
    </row>
    <row r="17" spans="1:6" x14ac:dyDescent="0.45">
      <c r="A17" s="6" t="s">
        <v>292</v>
      </c>
      <c r="B17" s="6" t="s">
        <v>341</v>
      </c>
      <c r="C17" s="6" t="s">
        <v>342</v>
      </c>
      <c r="D17" s="6" t="s">
        <v>343</v>
      </c>
      <c r="E17" s="6" t="s">
        <v>344</v>
      </c>
      <c r="F17" s="6" t="s">
        <v>297</v>
      </c>
    </row>
    <row r="18" spans="1:6" x14ac:dyDescent="0.45">
      <c r="A18" s="6" t="s">
        <v>292</v>
      </c>
      <c r="B18" s="6" t="s">
        <v>345</v>
      </c>
      <c r="C18" s="6" t="s">
        <v>346</v>
      </c>
      <c r="D18" s="6" t="s">
        <v>347</v>
      </c>
      <c r="E18" s="6" t="s">
        <v>348</v>
      </c>
      <c r="F18" s="6" t="s">
        <v>297</v>
      </c>
    </row>
    <row r="19" spans="1:6" x14ac:dyDescent="0.45">
      <c r="A19" s="6" t="s">
        <v>349</v>
      </c>
      <c r="B19" s="6" t="s">
        <v>350</v>
      </c>
      <c r="C19" s="6" t="s">
        <v>351</v>
      </c>
      <c r="D19" s="6" t="s">
        <v>352</v>
      </c>
      <c r="E19" s="6" t="s">
        <v>353</v>
      </c>
      <c r="F19" s="6" t="s">
        <v>297</v>
      </c>
    </row>
    <row r="20" spans="1:6" x14ac:dyDescent="0.45">
      <c r="A20" s="6" t="s">
        <v>349</v>
      </c>
      <c r="B20" s="6" t="s">
        <v>354</v>
      </c>
      <c r="C20" s="6" t="s">
        <v>355</v>
      </c>
      <c r="D20" s="6" t="s">
        <v>304</v>
      </c>
      <c r="E20" s="6" t="s">
        <v>305</v>
      </c>
      <c r="F20" s="6" t="s">
        <v>297</v>
      </c>
    </row>
    <row r="21" spans="1:6" x14ac:dyDescent="0.45">
      <c r="A21" s="6" t="s">
        <v>349</v>
      </c>
      <c r="B21" s="6" t="s">
        <v>356</v>
      </c>
      <c r="C21" s="6" t="s">
        <v>315</v>
      </c>
      <c r="D21" s="6" t="s">
        <v>303</v>
      </c>
      <c r="E21" s="6" t="s">
        <v>357</v>
      </c>
      <c r="F21" s="6" t="s">
        <v>297</v>
      </c>
    </row>
    <row r="22" spans="1:6" x14ac:dyDescent="0.45">
      <c r="A22" s="6" t="s">
        <v>349</v>
      </c>
      <c r="B22" s="6" t="s">
        <v>358</v>
      </c>
      <c r="C22" s="6" t="s">
        <v>359</v>
      </c>
      <c r="D22" s="6" t="s">
        <v>315</v>
      </c>
      <c r="E22" s="6" t="s">
        <v>360</v>
      </c>
      <c r="F22" s="6" t="s">
        <v>297</v>
      </c>
    </row>
    <row r="23" spans="1:6" x14ac:dyDescent="0.45">
      <c r="A23" s="6" t="s">
        <v>349</v>
      </c>
      <c r="B23" s="6" t="s">
        <v>361</v>
      </c>
      <c r="C23" s="6" t="s">
        <v>362</v>
      </c>
      <c r="D23" s="6" t="s">
        <v>363</v>
      </c>
      <c r="E23" s="6" t="s">
        <v>364</v>
      </c>
      <c r="F23" s="6" t="s">
        <v>297</v>
      </c>
    </row>
    <row r="24" spans="1:6" x14ac:dyDescent="0.45">
      <c r="A24" s="6" t="s">
        <v>349</v>
      </c>
      <c r="B24" s="6" t="s">
        <v>365</v>
      </c>
      <c r="C24" s="6" t="s">
        <v>304</v>
      </c>
      <c r="D24" s="6" t="s">
        <v>366</v>
      </c>
      <c r="E24" s="6" t="s">
        <v>367</v>
      </c>
      <c r="F24" s="6" t="s">
        <v>297</v>
      </c>
    </row>
    <row r="25" spans="1:6" x14ac:dyDescent="0.45">
      <c r="A25" s="6" t="s">
        <v>349</v>
      </c>
      <c r="B25" s="6" t="s">
        <v>368</v>
      </c>
      <c r="C25" s="6" t="s">
        <v>315</v>
      </c>
      <c r="D25" s="6" t="s">
        <v>303</v>
      </c>
      <c r="E25" s="6" t="s">
        <v>357</v>
      </c>
      <c r="F25" s="6" t="s">
        <v>297</v>
      </c>
    </row>
    <row r="26" spans="1:6" x14ac:dyDescent="0.45">
      <c r="A26" s="6" t="s">
        <v>349</v>
      </c>
      <c r="B26" s="6" t="s">
        <v>369</v>
      </c>
      <c r="C26" s="6" t="s">
        <v>304</v>
      </c>
      <c r="D26" s="6" t="s">
        <v>370</v>
      </c>
      <c r="E26" s="6" t="s">
        <v>371</v>
      </c>
      <c r="F26" s="6" t="s">
        <v>297</v>
      </c>
    </row>
    <row r="27" spans="1:6" x14ac:dyDescent="0.45">
      <c r="A27" s="6" t="s">
        <v>349</v>
      </c>
      <c r="B27" s="6" t="s">
        <v>372</v>
      </c>
      <c r="C27" s="6" t="s">
        <v>373</v>
      </c>
      <c r="D27" s="6" t="s">
        <v>303</v>
      </c>
      <c r="E27" s="6" t="s">
        <v>374</v>
      </c>
      <c r="F27" s="6" t="s">
        <v>297</v>
      </c>
    </row>
    <row r="28" spans="1:6" ht="28.5" x14ac:dyDescent="0.45">
      <c r="A28" s="6" t="s">
        <v>375</v>
      </c>
      <c r="B28" s="6" t="s">
        <v>376</v>
      </c>
      <c r="C28" s="6" t="s">
        <v>377</v>
      </c>
      <c r="D28" s="6" t="s">
        <v>297</v>
      </c>
      <c r="E28" s="6" t="s">
        <v>297</v>
      </c>
      <c r="F28" s="6" t="s">
        <v>297</v>
      </c>
    </row>
    <row r="29" spans="1:6" ht="28.5" x14ac:dyDescent="0.45">
      <c r="A29" s="6" t="s">
        <v>375</v>
      </c>
      <c r="B29" s="6" t="s">
        <v>378</v>
      </c>
      <c r="C29" s="6" t="s">
        <v>379</v>
      </c>
      <c r="D29" s="6" t="s">
        <v>297</v>
      </c>
      <c r="E29" s="6" t="s">
        <v>297</v>
      </c>
      <c r="F29" s="6" t="s">
        <v>297</v>
      </c>
    </row>
    <row r="30" spans="1:6" ht="28.5" x14ac:dyDescent="0.45">
      <c r="A30" s="6" t="s">
        <v>375</v>
      </c>
      <c r="B30" s="6" t="s">
        <v>380</v>
      </c>
      <c r="C30" s="6" t="s">
        <v>381</v>
      </c>
      <c r="D30" s="6" t="s">
        <v>297</v>
      </c>
      <c r="E30" s="6" t="s">
        <v>297</v>
      </c>
      <c r="F30" s="6" t="s">
        <v>297</v>
      </c>
    </row>
    <row r="31" spans="1:6" x14ac:dyDescent="0.45">
      <c r="A31" s="6" t="s">
        <v>375</v>
      </c>
      <c r="B31" s="6" t="s">
        <v>382</v>
      </c>
      <c r="C31" s="6" t="s">
        <v>383</v>
      </c>
      <c r="D31" s="6" t="s">
        <v>297</v>
      </c>
      <c r="E31" s="6" t="s">
        <v>297</v>
      </c>
      <c r="F31" s="6" t="s">
        <v>297</v>
      </c>
    </row>
    <row r="32" spans="1:6" x14ac:dyDescent="0.45">
      <c r="A32" s="6" t="s">
        <v>375</v>
      </c>
      <c r="B32" s="6" t="s">
        <v>384</v>
      </c>
      <c r="C32" s="6" t="s">
        <v>385</v>
      </c>
      <c r="D32" s="6" t="s">
        <v>297</v>
      </c>
      <c r="E32" s="6" t="s">
        <v>297</v>
      </c>
      <c r="F32" s="6" t="s">
        <v>297</v>
      </c>
    </row>
    <row r="33" spans="1:6" x14ac:dyDescent="0.45">
      <c r="A33" s="6" t="s">
        <v>375</v>
      </c>
      <c r="B33" s="6" t="s">
        <v>386</v>
      </c>
      <c r="C33" s="6" t="s">
        <v>387</v>
      </c>
      <c r="D33" s="6" t="s">
        <v>297</v>
      </c>
      <c r="E33" s="6" t="s">
        <v>297</v>
      </c>
      <c r="F33" s="6" t="s">
        <v>297</v>
      </c>
    </row>
    <row r="34" spans="1:6" x14ac:dyDescent="0.45">
      <c r="A34" s="6" t="s">
        <v>388</v>
      </c>
      <c r="B34" s="6" t="s">
        <v>389</v>
      </c>
      <c r="C34" s="6" t="s">
        <v>390</v>
      </c>
      <c r="D34" s="6" t="s">
        <v>297</v>
      </c>
      <c r="E34" s="6" t="s">
        <v>297</v>
      </c>
      <c r="F34" s="6" t="s">
        <v>297</v>
      </c>
    </row>
    <row r="35" spans="1:6" x14ac:dyDescent="0.45">
      <c r="A35" s="6" t="s">
        <v>388</v>
      </c>
      <c r="B35" s="6" t="s">
        <v>391</v>
      </c>
      <c r="C35" s="6" t="s">
        <v>392</v>
      </c>
      <c r="D35" s="6" t="s">
        <v>297</v>
      </c>
      <c r="E35" s="6" t="s">
        <v>297</v>
      </c>
      <c r="F35" s="6" t="s">
        <v>297</v>
      </c>
    </row>
    <row r="36" spans="1:6" x14ac:dyDescent="0.45">
      <c r="A36" s="6" t="s">
        <v>388</v>
      </c>
      <c r="B36" s="6" t="s">
        <v>393</v>
      </c>
      <c r="C36" s="6" t="s">
        <v>392</v>
      </c>
      <c r="D36" s="6" t="s">
        <v>297</v>
      </c>
      <c r="E36" s="6" t="s">
        <v>297</v>
      </c>
      <c r="F36" s="6" t="s">
        <v>297</v>
      </c>
    </row>
    <row r="37" spans="1:6" x14ac:dyDescent="0.45">
      <c r="A37" s="6" t="s">
        <v>388</v>
      </c>
      <c r="B37" s="6" t="s">
        <v>394</v>
      </c>
      <c r="C37" s="6" t="s">
        <v>392</v>
      </c>
      <c r="D37" s="6" t="s">
        <v>297</v>
      </c>
      <c r="E37" s="6" t="s">
        <v>297</v>
      </c>
      <c r="F37" s="6" t="s">
        <v>297</v>
      </c>
    </row>
    <row r="38" spans="1:6" ht="28.5" x14ac:dyDescent="0.45">
      <c r="A38" s="6" t="s">
        <v>388</v>
      </c>
      <c r="B38" s="6" t="s">
        <v>395</v>
      </c>
      <c r="C38" s="6" t="s">
        <v>396</v>
      </c>
      <c r="D38" s="6" t="s">
        <v>297</v>
      </c>
      <c r="E38" s="6" t="s">
        <v>297</v>
      </c>
      <c r="F38" s="6" t="s">
        <v>297</v>
      </c>
    </row>
    <row r="39" spans="1:6" x14ac:dyDescent="0.45">
      <c r="A39" s="6" t="s">
        <v>388</v>
      </c>
      <c r="B39" s="6" t="s">
        <v>397</v>
      </c>
      <c r="C39" s="6" t="s">
        <v>392</v>
      </c>
      <c r="D39" s="6" t="s">
        <v>297</v>
      </c>
      <c r="E39" s="6" t="s">
        <v>297</v>
      </c>
      <c r="F39" s="6" t="s">
        <v>297</v>
      </c>
    </row>
    <row r="40" spans="1:6" x14ac:dyDescent="0.45">
      <c r="A40" s="6" t="s">
        <v>388</v>
      </c>
      <c r="B40" s="6" t="s">
        <v>398</v>
      </c>
      <c r="C40" s="6" t="s">
        <v>392</v>
      </c>
      <c r="D40" s="6" t="s">
        <v>297</v>
      </c>
      <c r="E40" s="6" t="s">
        <v>297</v>
      </c>
      <c r="F40" s="6" t="s">
        <v>297</v>
      </c>
    </row>
    <row r="41" spans="1:6" x14ac:dyDescent="0.45">
      <c r="A41" s="6" t="s">
        <v>388</v>
      </c>
      <c r="B41" s="6" t="s">
        <v>399</v>
      </c>
      <c r="C41" s="6" t="s">
        <v>400</v>
      </c>
      <c r="D41" s="6" t="s">
        <v>297</v>
      </c>
      <c r="E41" s="6" t="s">
        <v>297</v>
      </c>
      <c r="F41" s="6" t="s">
        <v>297</v>
      </c>
    </row>
    <row r="42" spans="1:6" x14ac:dyDescent="0.45">
      <c r="A42" s="6" t="s">
        <v>388</v>
      </c>
      <c r="B42" s="6" t="s">
        <v>401</v>
      </c>
      <c r="C42" s="6" t="s">
        <v>402</v>
      </c>
      <c r="D42" s="6" t="s">
        <v>297</v>
      </c>
      <c r="E42" s="6" t="s">
        <v>297</v>
      </c>
      <c r="F42" s="6" t="s">
        <v>297</v>
      </c>
    </row>
    <row r="43" spans="1:6" x14ac:dyDescent="0.45">
      <c r="A43" s="6" t="s">
        <v>388</v>
      </c>
      <c r="B43" s="6" t="s">
        <v>403</v>
      </c>
      <c r="C43" s="6" t="s">
        <v>392</v>
      </c>
      <c r="D43" s="6" t="s">
        <v>297</v>
      </c>
      <c r="E43" s="6" t="s">
        <v>297</v>
      </c>
      <c r="F43" s="6" t="s">
        <v>297</v>
      </c>
    </row>
    <row r="44" spans="1:6" x14ac:dyDescent="0.45">
      <c r="A44" s="6" t="s">
        <v>388</v>
      </c>
      <c r="B44" s="6" t="s">
        <v>404</v>
      </c>
      <c r="C44" s="6" t="s">
        <v>392</v>
      </c>
      <c r="D44" s="6" t="s">
        <v>297</v>
      </c>
      <c r="E44" s="6" t="s">
        <v>297</v>
      </c>
      <c r="F44" s="6" t="s">
        <v>297</v>
      </c>
    </row>
    <row r="45" spans="1:6" x14ac:dyDescent="0.45">
      <c r="A45" s="6" t="s">
        <v>405</v>
      </c>
      <c r="B45" s="6" t="s">
        <v>406</v>
      </c>
      <c r="C45" s="6" t="s">
        <v>407</v>
      </c>
      <c r="D45" s="6" t="s">
        <v>297</v>
      </c>
      <c r="E45" s="6" t="s">
        <v>297</v>
      </c>
      <c r="F45" s="6" t="s">
        <v>297</v>
      </c>
    </row>
    <row r="46" spans="1:6" x14ac:dyDescent="0.45">
      <c r="A46" s="6" t="s">
        <v>405</v>
      </c>
      <c r="B46" s="6" t="s">
        <v>408</v>
      </c>
      <c r="C46" s="6" t="s">
        <v>409</v>
      </c>
      <c r="D46" s="6" t="s">
        <v>297</v>
      </c>
      <c r="E46" s="6" t="s">
        <v>297</v>
      </c>
      <c r="F46" s="6" t="s">
        <v>297</v>
      </c>
    </row>
    <row r="47" spans="1:6" x14ac:dyDescent="0.45">
      <c r="A47" s="6" t="s">
        <v>405</v>
      </c>
      <c r="B47" s="6" t="s">
        <v>410</v>
      </c>
      <c r="C47" s="6" t="s">
        <v>411</v>
      </c>
      <c r="D47" s="6" t="s">
        <v>297</v>
      </c>
      <c r="E47" s="6" t="s">
        <v>297</v>
      </c>
      <c r="F47" s="6" t="s">
        <v>297</v>
      </c>
    </row>
    <row r="48" spans="1:6" x14ac:dyDescent="0.45">
      <c r="A48" s="6" t="s">
        <v>405</v>
      </c>
      <c r="B48" s="6" t="s">
        <v>412</v>
      </c>
      <c r="C48" s="6" t="s">
        <v>413</v>
      </c>
      <c r="D48" s="6" t="s">
        <v>297</v>
      </c>
      <c r="E48" s="6" t="s">
        <v>297</v>
      </c>
      <c r="F48" s="6" t="s">
        <v>297</v>
      </c>
    </row>
    <row r="49" spans="1:6" x14ac:dyDescent="0.45">
      <c r="A49" s="6" t="s">
        <v>405</v>
      </c>
      <c r="B49" s="6" t="s">
        <v>414</v>
      </c>
      <c r="C49" s="6" t="s">
        <v>415</v>
      </c>
      <c r="D49" s="6" t="s">
        <v>297</v>
      </c>
      <c r="E49" s="6" t="s">
        <v>297</v>
      </c>
      <c r="F49" s="6" t="s">
        <v>297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8" customWidth="1"/>
    <col min="2" max="2" width="50" customWidth="1"/>
    <col min="3" max="3" width="12" customWidth="1"/>
    <col min="4" max="4" width="18" customWidth="1"/>
    <col min="5" max="5" width="50" customWidth="1"/>
    <col min="6" max="6" width="14" customWidth="1"/>
  </cols>
  <sheetData>
    <row r="1" spans="1:6" ht="24" customHeight="1" x14ac:dyDescent="0.65">
      <c r="A1" s="14" t="s">
        <v>416</v>
      </c>
      <c r="B1" s="13"/>
      <c r="C1" s="13"/>
      <c r="D1" s="13"/>
      <c r="E1" s="13"/>
      <c r="F1" s="13"/>
    </row>
    <row r="2" spans="1:6" ht="18" customHeight="1" x14ac:dyDescent="0.45">
      <c r="A2" s="12" t="s">
        <v>417</v>
      </c>
      <c r="B2" s="13"/>
      <c r="C2" s="13"/>
      <c r="D2" s="13"/>
      <c r="E2" s="13"/>
      <c r="F2" s="13"/>
    </row>
    <row r="4" spans="1:6" x14ac:dyDescent="0.45">
      <c r="A4" s="5" t="s">
        <v>418</v>
      </c>
      <c r="B4" s="5" t="s">
        <v>419</v>
      </c>
      <c r="C4" s="5" t="s">
        <v>420</v>
      </c>
      <c r="D4" s="5" t="s">
        <v>421</v>
      </c>
      <c r="E4" s="5" t="s">
        <v>422</v>
      </c>
      <c r="F4" s="5" t="s">
        <v>38</v>
      </c>
    </row>
    <row r="5" spans="1:6" x14ac:dyDescent="0.45">
      <c r="A5" s="6" t="s">
        <v>423</v>
      </c>
      <c r="B5" s="6" t="s">
        <v>424</v>
      </c>
      <c r="C5" s="6" t="s">
        <v>168</v>
      </c>
      <c r="D5" s="6" t="s">
        <v>425</v>
      </c>
      <c r="E5" s="6" t="s">
        <v>426</v>
      </c>
      <c r="F5" s="6" t="s">
        <v>43</v>
      </c>
    </row>
    <row r="6" spans="1:6" ht="28.5" x14ac:dyDescent="0.45">
      <c r="A6" s="6" t="s">
        <v>423</v>
      </c>
      <c r="B6" s="6" t="s">
        <v>427</v>
      </c>
      <c r="C6" s="6" t="s">
        <v>168</v>
      </c>
      <c r="D6" s="6" t="s">
        <v>425</v>
      </c>
      <c r="E6" s="6" t="s">
        <v>428</v>
      </c>
      <c r="F6" s="6" t="s">
        <v>43</v>
      </c>
    </row>
    <row r="7" spans="1:6" x14ac:dyDescent="0.45">
      <c r="A7" s="6" t="s">
        <v>423</v>
      </c>
      <c r="B7" s="6" t="s">
        <v>389</v>
      </c>
      <c r="C7" s="6" t="s">
        <v>429</v>
      </c>
      <c r="D7" s="6" t="s">
        <v>430</v>
      </c>
      <c r="E7" s="6" t="s">
        <v>431</v>
      </c>
      <c r="F7" s="6" t="s">
        <v>43</v>
      </c>
    </row>
    <row r="8" spans="1:6" x14ac:dyDescent="0.45">
      <c r="A8" s="6" t="s">
        <v>423</v>
      </c>
      <c r="B8" s="6" t="s">
        <v>432</v>
      </c>
      <c r="C8" s="6" t="s">
        <v>433</v>
      </c>
      <c r="D8" s="6" t="s">
        <v>425</v>
      </c>
      <c r="E8" s="6" t="s">
        <v>434</v>
      </c>
      <c r="F8" s="6" t="s">
        <v>43</v>
      </c>
    </row>
    <row r="9" spans="1:6" x14ac:dyDescent="0.45">
      <c r="A9" s="6" t="s">
        <v>423</v>
      </c>
      <c r="B9" s="6" t="s">
        <v>435</v>
      </c>
      <c r="C9" s="6" t="s">
        <v>433</v>
      </c>
      <c r="D9" s="6" t="s">
        <v>425</v>
      </c>
      <c r="E9" s="6" t="s">
        <v>436</v>
      </c>
      <c r="F9" s="6" t="s">
        <v>43</v>
      </c>
    </row>
    <row r="10" spans="1:6" ht="28.5" x14ac:dyDescent="0.45">
      <c r="A10" s="6" t="s">
        <v>423</v>
      </c>
      <c r="B10" s="6" t="s">
        <v>437</v>
      </c>
      <c r="C10" s="6" t="s">
        <v>438</v>
      </c>
      <c r="D10" s="6" t="s">
        <v>207</v>
      </c>
      <c r="E10" s="6" t="s">
        <v>439</v>
      </c>
      <c r="F10" s="6" t="s">
        <v>43</v>
      </c>
    </row>
    <row r="11" spans="1:6" x14ac:dyDescent="0.45">
      <c r="A11" s="6" t="s">
        <v>423</v>
      </c>
      <c r="B11" s="6" t="s">
        <v>440</v>
      </c>
      <c r="C11" s="6" t="s">
        <v>438</v>
      </c>
      <c r="D11" s="6" t="s">
        <v>244</v>
      </c>
      <c r="E11" s="6" t="s">
        <v>441</v>
      </c>
      <c r="F11" s="6" t="s">
        <v>43</v>
      </c>
    </row>
    <row r="12" spans="1:6" x14ac:dyDescent="0.45">
      <c r="A12" s="6" t="s">
        <v>442</v>
      </c>
      <c r="B12" s="6" t="s">
        <v>443</v>
      </c>
      <c r="C12" s="6" t="s">
        <v>444</v>
      </c>
      <c r="D12" s="6" t="s">
        <v>445</v>
      </c>
      <c r="E12" s="6" t="s">
        <v>446</v>
      </c>
      <c r="F12" s="6" t="s">
        <v>43</v>
      </c>
    </row>
    <row r="13" spans="1:6" x14ac:dyDescent="0.45">
      <c r="A13" s="6" t="s">
        <v>442</v>
      </c>
      <c r="B13" s="6" t="s">
        <v>447</v>
      </c>
      <c r="C13" s="6" t="s">
        <v>448</v>
      </c>
      <c r="D13" s="6" t="s">
        <v>449</v>
      </c>
      <c r="E13" s="6" t="s">
        <v>450</v>
      </c>
      <c r="F13" s="6" t="s">
        <v>43</v>
      </c>
    </row>
    <row r="14" spans="1:6" x14ac:dyDescent="0.45">
      <c r="A14" s="6" t="s">
        <v>442</v>
      </c>
      <c r="B14" s="6" t="s">
        <v>451</v>
      </c>
      <c r="C14" s="6" t="s">
        <v>452</v>
      </c>
      <c r="D14" s="6" t="s">
        <v>453</v>
      </c>
      <c r="E14" s="6" t="s">
        <v>454</v>
      </c>
      <c r="F14" s="6" t="s">
        <v>43</v>
      </c>
    </row>
    <row r="15" spans="1:6" x14ac:dyDescent="0.45">
      <c r="A15" s="6" t="s">
        <v>442</v>
      </c>
      <c r="B15" s="6" t="s">
        <v>455</v>
      </c>
      <c r="C15" s="6" t="s">
        <v>433</v>
      </c>
      <c r="D15" s="6" t="s">
        <v>456</v>
      </c>
      <c r="E15" s="6" t="s">
        <v>457</v>
      </c>
      <c r="F15" s="6" t="s">
        <v>43</v>
      </c>
    </row>
    <row r="16" spans="1:6" x14ac:dyDescent="0.45">
      <c r="A16" s="6" t="s">
        <v>442</v>
      </c>
      <c r="B16" s="6" t="s">
        <v>458</v>
      </c>
      <c r="C16" s="6" t="s">
        <v>168</v>
      </c>
      <c r="D16" s="6" t="s">
        <v>459</v>
      </c>
      <c r="E16" s="6" t="s">
        <v>460</v>
      </c>
      <c r="F16" s="6" t="s">
        <v>43</v>
      </c>
    </row>
    <row r="17" spans="1:6" x14ac:dyDescent="0.45">
      <c r="A17" s="6" t="s">
        <v>442</v>
      </c>
      <c r="B17" s="6" t="s">
        <v>461</v>
      </c>
      <c r="C17" s="6" t="s">
        <v>168</v>
      </c>
      <c r="D17" s="6" t="s">
        <v>462</v>
      </c>
      <c r="E17" s="6" t="s">
        <v>463</v>
      </c>
      <c r="F17" s="6" t="s">
        <v>43</v>
      </c>
    </row>
    <row r="18" spans="1:6" ht="28.5" x14ac:dyDescent="0.45">
      <c r="A18" s="6" t="s">
        <v>442</v>
      </c>
      <c r="B18" s="6" t="s">
        <v>464</v>
      </c>
      <c r="C18" s="6" t="s">
        <v>465</v>
      </c>
      <c r="D18" s="6" t="s">
        <v>445</v>
      </c>
      <c r="E18" s="6" t="s">
        <v>466</v>
      </c>
      <c r="F18" s="6" t="s">
        <v>43</v>
      </c>
    </row>
    <row r="19" spans="1:6" x14ac:dyDescent="0.45">
      <c r="A19" s="6" t="s">
        <v>467</v>
      </c>
      <c r="B19" s="6" t="s">
        <v>468</v>
      </c>
      <c r="C19" s="6" t="s">
        <v>465</v>
      </c>
      <c r="D19" s="6" t="s">
        <v>469</v>
      </c>
      <c r="E19" s="6" t="s">
        <v>470</v>
      </c>
      <c r="F19" s="6" t="s">
        <v>43</v>
      </c>
    </row>
    <row r="20" spans="1:6" x14ac:dyDescent="0.45">
      <c r="A20" s="6" t="s">
        <v>467</v>
      </c>
      <c r="B20" s="6" t="s">
        <v>471</v>
      </c>
      <c r="C20" s="6" t="s">
        <v>472</v>
      </c>
      <c r="D20" s="6" t="s">
        <v>473</v>
      </c>
      <c r="E20" s="6" t="s">
        <v>474</v>
      </c>
      <c r="F20" s="6" t="s">
        <v>43</v>
      </c>
    </row>
    <row r="21" spans="1:6" x14ac:dyDescent="0.45">
      <c r="A21" s="6" t="s">
        <v>467</v>
      </c>
      <c r="B21" s="6" t="s">
        <v>475</v>
      </c>
      <c r="C21" s="6" t="s">
        <v>476</v>
      </c>
      <c r="D21" s="6" t="s">
        <v>473</v>
      </c>
      <c r="E21" s="6" t="s">
        <v>477</v>
      </c>
      <c r="F21" s="6" t="s">
        <v>43</v>
      </c>
    </row>
    <row r="22" spans="1:6" x14ac:dyDescent="0.45">
      <c r="A22" s="6" t="s">
        <v>467</v>
      </c>
      <c r="B22" s="6" t="s">
        <v>478</v>
      </c>
      <c r="C22" s="6" t="s">
        <v>479</v>
      </c>
      <c r="D22" s="6" t="s">
        <v>480</v>
      </c>
      <c r="E22" s="6" t="s">
        <v>481</v>
      </c>
      <c r="F22" s="6" t="s">
        <v>43</v>
      </c>
    </row>
    <row r="23" spans="1:6" x14ac:dyDescent="0.45">
      <c r="A23" s="6" t="s">
        <v>467</v>
      </c>
      <c r="B23" s="6" t="s">
        <v>482</v>
      </c>
      <c r="C23" s="6" t="s">
        <v>483</v>
      </c>
      <c r="D23" s="6" t="s">
        <v>484</v>
      </c>
      <c r="E23" s="6" t="s">
        <v>485</v>
      </c>
      <c r="F23" s="6" t="s">
        <v>43</v>
      </c>
    </row>
    <row r="24" spans="1:6" x14ac:dyDescent="0.45">
      <c r="A24" s="6" t="s">
        <v>467</v>
      </c>
      <c r="B24" s="6" t="s">
        <v>486</v>
      </c>
      <c r="C24" s="6" t="s">
        <v>487</v>
      </c>
      <c r="D24" s="6" t="s">
        <v>488</v>
      </c>
      <c r="E24" s="6" t="s">
        <v>489</v>
      </c>
      <c r="F24" s="6" t="s">
        <v>43</v>
      </c>
    </row>
    <row r="25" spans="1:6" x14ac:dyDescent="0.45">
      <c r="A25" s="6" t="s">
        <v>467</v>
      </c>
      <c r="B25" s="6" t="s">
        <v>490</v>
      </c>
      <c r="C25" s="6" t="s">
        <v>465</v>
      </c>
      <c r="D25" s="6" t="s">
        <v>491</v>
      </c>
      <c r="E25" s="6" t="s">
        <v>492</v>
      </c>
      <c r="F25" s="6" t="s">
        <v>43</v>
      </c>
    </row>
    <row r="26" spans="1:6" x14ac:dyDescent="0.45">
      <c r="A26" s="6" t="s">
        <v>467</v>
      </c>
      <c r="B26" s="6" t="s">
        <v>493</v>
      </c>
      <c r="C26" s="6" t="s">
        <v>465</v>
      </c>
      <c r="D26" s="6" t="s">
        <v>494</v>
      </c>
      <c r="E26" s="6" t="s">
        <v>495</v>
      </c>
      <c r="F26" s="6" t="s">
        <v>43</v>
      </c>
    </row>
    <row r="27" spans="1:6" x14ac:dyDescent="0.45">
      <c r="A27" s="6" t="s">
        <v>467</v>
      </c>
      <c r="B27" s="6" t="s">
        <v>496</v>
      </c>
      <c r="C27" s="6" t="s">
        <v>483</v>
      </c>
      <c r="D27" s="6" t="s">
        <v>491</v>
      </c>
      <c r="E27" s="6" t="s">
        <v>497</v>
      </c>
      <c r="F27" s="6" t="s">
        <v>43</v>
      </c>
    </row>
    <row r="28" spans="1:6" x14ac:dyDescent="0.45">
      <c r="A28" s="6" t="s">
        <v>467</v>
      </c>
      <c r="B28" s="6" t="s">
        <v>498</v>
      </c>
      <c r="C28" s="6" t="s">
        <v>499</v>
      </c>
      <c r="D28" s="6" t="s">
        <v>491</v>
      </c>
      <c r="E28" s="6" t="s">
        <v>470</v>
      </c>
      <c r="F28" s="6" t="s">
        <v>43</v>
      </c>
    </row>
    <row r="29" spans="1:6" x14ac:dyDescent="0.45">
      <c r="A29" s="6" t="s">
        <v>467</v>
      </c>
      <c r="B29" s="6" t="s">
        <v>500</v>
      </c>
      <c r="C29" s="6" t="s">
        <v>465</v>
      </c>
      <c r="D29" s="6" t="s">
        <v>491</v>
      </c>
      <c r="E29" s="6" t="s">
        <v>501</v>
      </c>
      <c r="F29" s="6" t="s">
        <v>43</v>
      </c>
    </row>
  </sheetData>
  <mergeCells count="2">
    <mergeCell ref="A2:F2"/>
    <mergeCell ref="A1:F1"/>
  </mergeCells>
  <conditionalFormatting sqref="F5:F29">
    <cfRule type="cellIs" dxfId="23" priority="1" operator="equal">
      <formula>"Done"</formula>
    </cfRule>
    <cfRule type="cellIs" dxfId="22" priority="2" operator="equal">
      <formula>"In progress"</formula>
    </cfRule>
    <cfRule type="cellIs" dxfId="21" priority="3" operator="equal">
      <formula>"Not started"</formula>
    </cfRule>
  </conditionalFormatting>
  <dataValidations count="1">
    <dataValidation type="list" allowBlank="1" sqref="F5:F29" xr:uid="{00000000-0002-0000-0600-000000000000}">
      <formula1>"Not started,In progress,Done,Skipped,Deferred to Y2"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2" width="22" customWidth="1"/>
    <col min="3" max="3" width="30" customWidth="1"/>
    <col min="4" max="4" width="14" customWidth="1"/>
    <col min="5" max="5" width="30" customWidth="1"/>
    <col min="6" max="6" width="18" customWidth="1"/>
    <col min="7" max="8" width="20" customWidth="1"/>
    <col min="9" max="9" width="30" customWidth="1"/>
  </cols>
  <sheetData>
    <row r="1" spans="1:9" ht="24" customHeight="1" x14ac:dyDescent="0.65">
      <c r="A1" s="14" t="s">
        <v>502</v>
      </c>
      <c r="B1" s="13"/>
      <c r="C1" s="13"/>
      <c r="D1" s="13"/>
      <c r="E1" s="13"/>
      <c r="F1" s="13"/>
      <c r="G1" s="13"/>
      <c r="H1" s="13"/>
      <c r="I1" s="13"/>
    </row>
    <row r="2" spans="1:9" ht="18" customHeight="1" x14ac:dyDescent="0.45">
      <c r="A2" s="12" t="s">
        <v>503</v>
      </c>
      <c r="B2" s="13"/>
      <c r="C2" s="13"/>
      <c r="D2" s="13"/>
      <c r="E2" s="13"/>
      <c r="F2" s="13"/>
      <c r="G2" s="13"/>
      <c r="H2" s="13"/>
      <c r="I2" s="13"/>
    </row>
    <row r="4" spans="1:9" x14ac:dyDescent="0.45">
      <c r="A4" s="5" t="s">
        <v>504</v>
      </c>
      <c r="B4" s="5" t="s">
        <v>505</v>
      </c>
      <c r="C4" s="5" t="s">
        <v>506</v>
      </c>
      <c r="D4" s="5" t="s">
        <v>507</v>
      </c>
      <c r="E4" s="5" t="s">
        <v>508</v>
      </c>
      <c r="F4" s="5" t="s">
        <v>38</v>
      </c>
      <c r="G4" s="5" t="s">
        <v>509</v>
      </c>
      <c r="H4" s="5" t="s">
        <v>510</v>
      </c>
      <c r="I4" s="5" t="s">
        <v>39</v>
      </c>
    </row>
    <row r="5" spans="1:9" ht="28.5" x14ac:dyDescent="0.45">
      <c r="A5" s="6">
        <v>1</v>
      </c>
      <c r="B5" s="6" t="s">
        <v>511</v>
      </c>
      <c r="C5" s="6" t="s">
        <v>512</v>
      </c>
      <c r="D5" s="6"/>
      <c r="E5" s="6"/>
      <c r="F5" s="6" t="s">
        <v>43</v>
      </c>
      <c r="G5" s="6"/>
      <c r="H5" s="6"/>
      <c r="I5" s="6"/>
    </row>
    <row r="6" spans="1:9" ht="28.5" x14ac:dyDescent="0.45">
      <c r="A6" s="6">
        <v>2</v>
      </c>
      <c r="B6" s="6" t="s">
        <v>513</v>
      </c>
      <c r="C6" s="6" t="s">
        <v>514</v>
      </c>
      <c r="D6" s="6"/>
      <c r="E6" s="6"/>
      <c r="F6" s="6" t="s">
        <v>43</v>
      </c>
      <c r="G6" s="6"/>
      <c r="H6" s="6"/>
      <c r="I6" s="6"/>
    </row>
    <row r="7" spans="1:9" ht="28.5" x14ac:dyDescent="0.45">
      <c r="A7" s="6">
        <v>3</v>
      </c>
      <c r="B7" s="6" t="s">
        <v>513</v>
      </c>
      <c r="C7" s="6" t="s">
        <v>515</v>
      </c>
      <c r="D7" s="6"/>
      <c r="E7" s="6"/>
      <c r="F7" s="6" t="s">
        <v>43</v>
      </c>
      <c r="G7" s="6"/>
      <c r="H7" s="6"/>
      <c r="I7" s="6"/>
    </row>
    <row r="8" spans="1:9" ht="28.5" x14ac:dyDescent="0.45">
      <c r="A8" s="6">
        <v>4</v>
      </c>
      <c r="B8" s="6" t="s">
        <v>513</v>
      </c>
      <c r="C8" s="6" t="s">
        <v>516</v>
      </c>
      <c r="D8" s="6"/>
      <c r="E8" s="6"/>
      <c r="F8" s="6" t="s">
        <v>43</v>
      </c>
      <c r="G8" s="6"/>
      <c r="H8" s="6"/>
      <c r="I8" s="6"/>
    </row>
    <row r="9" spans="1:9" ht="28.5" x14ac:dyDescent="0.45">
      <c r="A9" s="6">
        <v>5</v>
      </c>
      <c r="B9" s="6" t="s">
        <v>517</v>
      </c>
      <c r="C9" s="6" t="s">
        <v>518</v>
      </c>
      <c r="D9" s="6"/>
      <c r="E9" s="6"/>
      <c r="F9" s="6" t="s">
        <v>43</v>
      </c>
      <c r="G9" s="6"/>
      <c r="H9" s="6"/>
      <c r="I9" s="6"/>
    </row>
    <row r="10" spans="1:9" ht="28.5" x14ac:dyDescent="0.45">
      <c r="A10" s="6">
        <v>6</v>
      </c>
      <c r="B10" s="6" t="s">
        <v>517</v>
      </c>
      <c r="C10" s="6" t="s">
        <v>519</v>
      </c>
      <c r="D10" s="6"/>
      <c r="E10" s="6"/>
      <c r="F10" s="6" t="s">
        <v>43</v>
      </c>
      <c r="G10" s="6"/>
      <c r="H10" s="6"/>
      <c r="I10" s="6"/>
    </row>
    <row r="11" spans="1:9" ht="28.5" x14ac:dyDescent="0.45">
      <c r="A11" s="6">
        <v>7</v>
      </c>
      <c r="B11" s="6" t="s">
        <v>520</v>
      </c>
      <c r="C11" s="6" t="s">
        <v>521</v>
      </c>
      <c r="D11" s="6"/>
      <c r="E11" s="6"/>
      <c r="F11" s="6" t="s">
        <v>43</v>
      </c>
      <c r="G11" s="6"/>
      <c r="H11" s="6"/>
      <c r="I11" s="6"/>
    </row>
    <row r="12" spans="1:9" ht="28.5" x14ac:dyDescent="0.45">
      <c r="A12" s="6">
        <v>8</v>
      </c>
      <c r="B12" s="6" t="s">
        <v>522</v>
      </c>
      <c r="C12" s="6" t="s">
        <v>523</v>
      </c>
      <c r="D12" s="6"/>
      <c r="E12" s="6"/>
      <c r="F12" s="6" t="s">
        <v>43</v>
      </c>
      <c r="G12" s="6"/>
      <c r="H12" s="6"/>
      <c r="I12" s="6"/>
    </row>
    <row r="13" spans="1:9" x14ac:dyDescent="0.45">
      <c r="A13" s="6">
        <v>9</v>
      </c>
      <c r="B13" s="6" t="s">
        <v>522</v>
      </c>
      <c r="C13" s="6" t="s">
        <v>524</v>
      </c>
      <c r="D13" s="6"/>
      <c r="E13" s="6"/>
      <c r="F13" s="6" t="s">
        <v>43</v>
      </c>
      <c r="G13" s="6"/>
      <c r="H13" s="6"/>
      <c r="I13" s="6"/>
    </row>
    <row r="14" spans="1:9" x14ac:dyDescent="0.45">
      <c r="A14" s="6">
        <v>10</v>
      </c>
      <c r="B14" s="6" t="s">
        <v>525</v>
      </c>
      <c r="C14" s="6" t="s">
        <v>526</v>
      </c>
      <c r="D14" s="6"/>
      <c r="E14" s="6"/>
      <c r="F14" s="6" t="s">
        <v>43</v>
      </c>
      <c r="G14" s="6"/>
      <c r="H14" s="6"/>
      <c r="I14" s="6"/>
    </row>
    <row r="15" spans="1:9" x14ac:dyDescent="0.45">
      <c r="A15" s="6">
        <v>11</v>
      </c>
      <c r="B15" s="6" t="s">
        <v>527</v>
      </c>
      <c r="C15" s="6" t="s">
        <v>528</v>
      </c>
      <c r="D15" s="6"/>
      <c r="E15" s="6"/>
      <c r="F15" s="6" t="s">
        <v>43</v>
      </c>
      <c r="G15" s="6"/>
      <c r="H15" s="6"/>
      <c r="I15" s="6"/>
    </row>
    <row r="16" spans="1:9" ht="28.5" x14ac:dyDescent="0.45">
      <c r="A16" s="6">
        <v>12</v>
      </c>
      <c r="B16" s="6" t="s">
        <v>529</v>
      </c>
      <c r="C16" s="6" t="s">
        <v>530</v>
      </c>
      <c r="D16" s="6"/>
      <c r="E16" s="6"/>
      <c r="F16" s="6" t="s">
        <v>43</v>
      </c>
      <c r="G16" s="6"/>
      <c r="H16" s="6"/>
      <c r="I16" s="6"/>
    </row>
    <row r="17" spans="1:9" x14ac:dyDescent="0.45">
      <c r="A17" s="6">
        <v>13</v>
      </c>
      <c r="B17" s="6" t="s">
        <v>531</v>
      </c>
      <c r="C17" s="6" t="s">
        <v>532</v>
      </c>
      <c r="D17" s="6"/>
      <c r="E17" s="6"/>
      <c r="F17" s="6" t="s">
        <v>43</v>
      </c>
      <c r="G17" s="6"/>
      <c r="H17" s="6"/>
      <c r="I17" s="6"/>
    </row>
    <row r="18" spans="1:9" x14ac:dyDescent="0.45">
      <c r="A18" s="6">
        <v>14</v>
      </c>
      <c r="B18" s="6" t="s">
        <v>533</v>
      </c>
      <c r="C18" s="6" t="s">
        <v>534</v>
      </c>
      <c r="D18" s="6"/>
      <c r="E18" s="6"/>
      <c r="F18" s="6" t="s">
        <v>43</v>
      </c>
      <c r="G18" s="6"/>
      <c r="H18" s="6"/>
      <c r="I18" s="6"/>
    </row>
    <row r="19" spans="1:9" ht="28.5" x14ac:dyDescent="0.45">
      <c r="A19" s="6">
        <v>15</v>
      </c>
      <c r="B19" s="6" t="s">
        <v>535</v>
      </c>
      <c r="C19" s="6" t="s">
        <v>528</v>
      </c>
      <c r="D19" s="6"/>
      <c r="E19" s="6"/>
      <c r="F19" s="6" t="s">
        <v>43</v>
      </c>
      <c r="G19" s="6"/>
      <c r="H19" s="6"/>
      <c r="I19" s="6"/>
    </row>
    <row r="20" spans="1:9" ht="28.5" x14ac:dyDescent="0.45">
      <c r="A20" s="6">
        <v>16</v>
      </c>
      <c r="B20" s="6" t="s">
        <v>536</v>
      </c>
      <c r="C20" s="6" t="s">
        <v>528</v>
      </c>
      <c r="D20" s="6"/>
      <c r="E20" s="6"/>
      <c r="F20" s="6" t="s">
        <v>43</v>
      </c>
      <c r="G20" s="6"/>
      <c r="H20" s="6"/>
      <c r="I20" s="6"/>
    </row>
    <row r="21" spans="1:9" x14ac:dyDescent="0.45">
      <c r="A21" s="6">
        <v>17</v>
      </c>
      <c r="B21" s="6" t="s">
        <v>537</v>
      </c>
      <c r="C21" s="6" t="s">
        <v>538</v>
      </c>
      <c r="D21" s="6"/>
      <c r="E21" s="6"/>
      <c r="F21" s="6" t="s">
        <v>43</v>
      </c>
      <c r="G21" s="6"/>
      <c r="H21" s="6"/>
      <c r="I21" s="6"/>
    </row>
    <row r="22" spans="1:9" x14ac:dyDescent="0.45">
      <c r="A22" s="6">
        <v>18</v>
      </c>
      <c r="B22" s="6" t="s">
        <v>539</v>
      </c>
      <c r="C22" s="6" t="s">
        <v>528</v>
      </c>
      <c r="D22" s="6"/>
      <c r="E22" s="6"/>
      <c r="F22" s="6" t="s">
        <v>43</v>
      </c>
      <c r="G22" s="6"/>
      <c r="H22" s="6"/>
      <c r="I22" s="6"/>
    </row>
    <row r="23" spans="1:9" x14ac:dyDescent="0.45">
      <c r="A23" s="6">
        <v>19</v>
      </c>
      <c r="B23" s="6" t="s">
        <v>540</v>
      </c>
      <c r="C23" s="6" t="s">
        <v>541</v>
      </c>
      <c r="D23" s="6"/>
      <c r="E23" s="6"/>
      <c r="F23" s="6" t="s">
        <v>43</v>
      </c>
      <c r="G23" s="6"/>
      <c r="H23" s="6"/>
      <c r="I23" s="6"/>
    </row>
    <row r="24" spans="1:9" x14ac:dyDescent="0.45">
      <c r="A24" s="6">
        <v>20</v>
      </c>
      <c r="B24" s="6" t="s">
        <v>542</v>
      </c>
      <c r="C24" s="6" t="s">
        <v>538</v>
      </c>
      <c r="D24" s="6"/>
      <c r="E24" s="6"/>
      <c r="F24" s="6" t="s">
        <v>43</v>
      </c>
      <c r="G24" s="6"/>
      <c r="H24" s="6"/>
      <c r="I24" s="6"/>
    </row>
    <row r="25" spans="1:9" x14ac:dyDescent="0.45">
      <c r="A25" s="6">
        <v>21</v>
      </c>
      <c r="B25" s="6" t="s">
        <v>543</v>
      </c>
      <c r="C25" s="6" t="s">
        <v>40</v>
      </c>
      <c r="D25" s="6"/>
      <c r="E25" s="6"/>
      <c r="F25" s="6" t="s">
        <v>43</v>
      </c>
      <c r="G25" s="6"/>
      <c r="H25" s="6"/>
      <c r="I25" s="6"/>
    </row>
    <row r="26" spans="1:9" x14ac:dyDescent="0.45">
      <c r="A26" s="6">
        <v>22</v>
      </c>
      <c r="B26" s="6" t="s">
        <v>544</v>
      </c>
      <c r="C26" s="6" t="s">
        <v>532</v>
      </c>
      <c r="D26" s="6"/>
      <c r="E26" s="6"/>
      <c r="F26" s="6" t="s">
        <v>43</v>
      </c>
      <c r="G26" s="6"/>
      <c r="H26" s="6"/>
      <c r="I26" s="6"/>
    </row>
  </sheetData>
  <mergeCells count="2">
    <mergeCell ref="A1:I1"/>
    <mergeCell ref="A2:I2"/>
  </mergeCells>
  <conditionalFormatting sqref="F5:F26">
    <cfRule type="cellIs" dxfId="20" priority="1" operator="equal">
      <formula>"Offer"</formula>
    </cfRule>
    <cfRule type="cellIs" dxfId="19" priority="2" operator="equal">
      <formula>"Final interview"</formula>
    </cfRule>
    <cfRule type="cellIs" dxfId="18" priority="3" operator="equal">
      <formula>"Phone screen"</formula>
    </cfRule>
    <cfRule type="cellIs" dxfId="17" priority="4" operator="equal">
      <formula>"Online assessment"</formula>
    </cfRule>
    <cfRule type="cellIs" dxfId="16" priority="5" operator="equal">
      <formula>"Submitted"</formula>
    </cfRule>
    <cfRule type="cellIs" dxfId="15" priority="6" operator="equal">
      <formula>"Rejected"</formula>
    </cfRule>
    <cfRule type="cellIs" dxfId="14" priority="7" operator="equal">
      <formula>"Not started"</formula>
    </cfRule>
  </conditionalFormatting>
  <dataValidations count="1">
    <dataValidation type="list" allowBlank="1" sqref="F5:F26" xr:uid="{00000000-0002-0000-0700-000000000000}">
      <formula1>"Not started,Drafting CV,Submitted,Phone screen,Online assessment,Final interview,Offer,Rejected,Withdrawn"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3" width="24" customWidth="1"/>
    <col min="4" max="4" width="28" customWidth="1"/>
    <col min="5" max="5" width="18" customWidth="1"/>
    <col min="6" max="6" width="14" customWidth="1"/>
    <col min="7" max="7" width="12" customWidth="1"/>
    <col min="8" max="8" width="35" customWidth="1"/>
  </cols>
  <sheetData>
    <row r="1" spans="1:8" ht="24" customHeight="1" x14ac:dyDescent="0.65">
      <c r="A1" s="14" t="s">
        <v>545</v>
      </c>
      <c r="B1" s="13"/>
      <c r="C1" s="13"/>
      <c r="D1" s="13"/>
      <c r="E1" s="13"/>
      <c r="F1" s="13"/>
      <c r="G1" s="13"/>
      <c r="H1" s="13"/>
    </row>
    <row r="2" spans="1:8" ht="18" customHeight="1" x14ac:dyDescent="0.45">
      <c r="A2" s="12" t="s">
        <v>546</v>
      </c>
      <c r="B2" s="13"/>
      <c r="C2" s="13"/>
      <c r="D2" s="13"/>
      <c r="E2" s="13"/>
      <c r="F2" s="13"/>
      <c r="G2" s="13"/>
      <c r="H2" s="13"/>
    </row>
    <row r="4" spans="1:8" x14ac:dyDescent="0.45">
      <c r="A4" s="5" t="s">
        <v>504</v>
      </c>
      <c r="B4" s="5" t="s">
        <v>547</v>
      </c>
      <c r="C4" s="5" t="s">
        <v>505</v>
      </c>
      <c r="D4" s="5" t="s">
        <v>506</v>
      </c>
      <c r="E4" s="5" t="s">
        <v>548</v>
      </c>
      <c r="F4" s="5" t="s">
        <v>549</v>
      </c>
      <c r="G4" s="5" t="s">
        <v>550</v>
      </c>
      <c r="H4" s="5" t="s">
        <v>39</v>
      </c>
    </row>
    <row r="5" spans="1:8" x14ac:dyDescent="0.45">
      <c r="A5" s="6">
        <v>1</v>
      </c>
      <c r="B5" s="6"/>
      <c r="C5" s="6"/>
      <c r="D5" s="6"/>
      <c r="E5" s="6"/>
      <c r="F5" s="6"/>
      <c r="G5" s="6"/>
      <c r="H5" s="6"/>
    </row>
    <row r="6" spans="1:8" x14ac:dyDescent="0.45">
      <c r="A6" s="6">
        <v>2</v>
      </c>
      <c r="B6" s="6"/>
      <c r="C6" s="6"/>
      <c r="D6" s="6"/>
      <c r="E6" s="6"/>
      <c r="F6" s="6"/>
      <c r="G6" s="6"/>
      <c r="H6" s="6"/>
    </row>
    <row r="7" spans="1:8" x14ac:dyDescent="0.45">
      <c r="A7" s="6">
        <v>3</v>
      </c>
      <c r="B7" s="6"/>
      <c r="C7" s="6"/>
      <c r="D7" s="6"/>
      <c r="E7" s="6"/>
      <c r="F7" s="6"/>
      <c r="G7" s="6"/>
      <c r="H7" s="6"/>
    </row>
    <row r="8" spans="1:8" x14ac:dyDescent="0.45">
      <c r="A8" s="6">
        <v>4</v>
      </c>
      <c r="B8" s="6"/>
      <c r="C8" s="6"/>
      <c r="D8" s="6"/>
      <c r="E8" s="6"/>
      <c r="F8" s="6"/>
      <c r="G8" s="6"/>
      <c r="H8" s="6"/>
    </row>
    <row r="9" spans="1:8" x14ac:dyDescent="0.45">
      <c r="A9" s="6">
        <v>5</v>
      </c>
      <c r="B9" s="6"/>
      <c r="C9" s="6"/>
      <c r="D9" s="6"/>
      <c r="E9" s="6"/>
      <c r="F9" s="6"/>
      <c r="G9" s="6"/>
      <c r="H9" s="6"/>
    </row>
    <row r="10" spans="1:8" x14ac:dyDescent="0.45">
      <c r="A10" s="6">
        <v>6</v>
      </c>
      <c r="B10" s="6"/>
      <c r="C10" s="6"/>
      <c r="D10" s="6"/>
      <c r="E10" s="6"/>
      <c r="F10" s="6"/>
      <c r="G10" s="6"/>
      <c r="H10" s="6"/>
    </row>
    <row r="11" spans="1:8" x14ac:dyDescent="0.45">
      <c r="A11" s="6">
        <v>7</v>
      </c>
      <c r="B11" s="6"/>
      <c r="C11" s="6"/>
      <c r="D11" s="6"/>
      <c r="E11" s="6"/>
      <c r="F11" s="6"/>
      <c r="G11" s="6"/>
      <c r="H11" s="6"/>
    </row>
    <row r="12" spans="1:8" x14ac:dyDescent="0.45">
      <c r="A12" s="6">
        <v>8</v>
      </c>
      <c r="B12" s="6"/>
      <c r="C12" s="6"/>
      <c r="D12" s="6"/>
      <c r="E12" s="6"/>
      <c r="F12" s="6"/>
      <c r="G12" s="6"/>
      <c r="H12" s="6"/>
    </row>
    <row r="13" spans="1:8" x14ac:dyDescent="0.45">
      <c r="A13" s="6">
        <v>9</v>
      </c>
      <c r="B13" s="6"/>
      <c r="C13" s="6"/>
      <c r="D13" s="6"/>
      <c r="E13" s="6"/>
      <c r="F13" s="6"/>
      <c r="G13" s="6"/>
      <c r="H13" s="6"/>
    </row>
    <row r="14" spans="1:8" x14ac:dyDescent="0.45">
      <c r="A14" s="6">
        <v>10</v>
      </c>
      <c r="B14" s="6"/>
      <c r="C14" s="6"/>
      <c r="D14" s="6"/>
      <c r="E14" s="6"/>
      <c r="F14" s="6"/>
      <c r="G14" s="6"/>
      <c r="H14" s="6"/>
    </row>
    <row r="15" spans="1:8" x14ac:dyDescent="0.45">
      <c r="A15" s="6">
        <v>11</v>
      </c>
      <c r="B15" s="6"/>
      <c r="C15" s="6"/>
      <c r="D15" s="6"/>
      <c r="E15" s="6"/>
      <c r="F15" s="6"/>
      <c r="G15" s="6"/>
      <c r="H15" s="6"/>
    </row>
    <row r="16" spans="1:8" x14ac:dyDescent="0.45">
      <c r="A16" s="6">
        <v>12</v>
      </c>
      <c r="B16" s="6"/>
      <c r="C16" s="6"/>
      <c r="D16" s="6"/>
      <c r="E16" s="6"/>
      <c r="F16" s="6"/>
      <c r="G16" s="6"/>
      <c r="H16" s="6"/>
    </row>
    <row r="17" spans="1:8" x14ac:dyDescent="0.45">
      <c r="A17" s="6">
        <v>13</v>
      </c>
      <c r="B17" s="6"/>
      <c r="C17" s="6"/>
      <c r="D17" s="6"/>
      <c r="E17" s="6"/>
      <c r="F17" s="6"/>
      <c r="G17" s="6"/>
      <c r="H17" s="6"/>
    </row>
    <row r="18" spans="1:8" x14ac:dyDescent="0.45">
      <c r="A18" s="6">
        <v>14</v>
      </c>
      <c r="B18" s="6"/>
      <c r="C18" s="6"/>
      <c r="D18" s="6"/>
      <c r="E18" s="6"/>
      <c r="F18" s="6"/>
      <c r="G18" s="6"/>
      <c r="H18" s="6"/>
    </row>
    <row r="19" spans="1:8" x14ac:dyDescent="0.45">
      <c r="A19" s="6">
        <v>15</v>
      </c>
      <c r="B19" s="6"/>
      <c r="C19" s="6"/>
      <c r="D19" s="6"/>
      <c r="E19" s="6"/>
      <c r="F19" s="6"/>
      <c r="G19" s="6"/>
      <c r="H19" s="6"/>
    </row>
    <row r="20" spans="1:8" x14ac:dyDescent="0.45">
      <c r="A20" s="6">
        <v>16</v>
      </c>
      <c r="B20" s="6"/>
      <c r="C20" s="6"/>
      <c r="D20" s="6"/>
      <c r="E20" s="6"/>
      <c r="F20" s="6"/>
      <c r="G20" s="6"/>
      <c r="H20" s="6"/>
    </row>
    <row r="21" spans="1:8" x14ac:dyDescent="0.45">
      <c r="A21" s="6">
        <v>17</v>
      </c>
      <c r="B21" s="6"/>
      <c r="C21" s="6"/>
      <c r="D21" s="6"/>
      <c r="E21" s="6"/>
      <c r="F21" s="6"/>
      <c r="G21" s="6"/>
      <c r="H21" s="6"/>
    </row>
    <row r="22" spans="1:8" x14ac:dyDescent="0.45">
      <c r="A22" s="6">
        <v>18</v>
      </c>
      <c r="B22" s="6"/>
      <c r="C22" s="6"/>
      <c r="D22" s="6"/>
      <c r="E22" s="6"/>
      <c r="F22" s="6"/>
      <c r="G22" s="6"/>
      <c r="H22" s="6"/>
    </row>
    <row r="23" spans="1:8" x14ac:dyDescent="0.45">
      <c r="A23" s="6">
        <v>19</v>
      </c>
      <c r="B23" s="6"/>
      <c r="C23" s="6"/>
      <c r="D23" s="6"/>
      <c r="E23" s="6"/>
      <c r="F23" s="6"/>
      <c r="G23" s="6"/>
      <c r="H23" s="6"/>
    </row>
    <row r="24" spans="1:8" x14ac:dyDescent="0.45">
      <c r="A24" s="6">
        <v>20</v>
      </c>
      <c r="B24" s="6"/>
      <c r="C24" s="6"/>
      <c r="D24" s="6"/>
      <c r="E24" s="6"/>
      <c r="F24" s="6"/>
      <c r="G24" s="6"/>
      <c r="H24" s="6"/>
    </row>
    <row r="25" spans="1:8" x14ac:dyDescent="0.45">
      <c r="A25" s="6">
        <v>21</v>
      </c>
      <c r="B25" s="6"/>
      <c r="C25" s="6"/>
      <c r="D25" s="6"/>
      <c r="E25" s="6"/>
      <c r="F25" s="6"/>
      <c r="G25" s="6"/>
      <c r="H25" s="6"/>
    </row>
    <row r="26" spans="1:8" x14ac:dyDescent="0.45">
      <c r="A26" s="6">
        <v>22</v>
      </c>
      <c r="B26" s="6"/>
      <c r="C26" s="6"/>
      <c r="D26" s="6"/>
      <c r="E26" s="6"/>
      <c r="F26" s="6"/>
      <c r="G26" s="6"/>
      <c r="H26" s="6"/>
    </row>
    <row r="27" spans="1:8" x14ac:dyDescent="0.45">
      <c r="A27" s="6">
        <v>23</v>
      </c>
      <c r="B27" s="6"/>
      <c r="C27" s="6"/>
      <c r="D27" s="6"/>
      <c r="E27" s="6"/>
      <c r="F27" s="6"/>
      <c r="G27" s="6"/>
      <c r="H27" s="6"/>
    </row>
    <row r="28" spans="1:8" x14ac:dyDescent="0.45">
      <c r="A28" s="6">
        <v>24</v>
      </c>
      <c r="B28" s="6"/>
      <c r="C28" s="6"/>
      <c r="D28" s="6"/>
      <c r="E28" s="6"/>
      <c r="F28" s="6"/>
      <c r="G28" s="6"/>
      <c r="H28" s="6"/>
    </row>
    <row r="29" spans="1:8" x14ac:dyDescent="0.45">
      <c r="A29" s="6">
        <v>25</v>
      </c>
      <c r="B29" s="6"/>
      <c r="C29" s="6"/>
      <c r="D29" s="6"/>
      <c r="E29" s="6"/>
      <c r="F29" s="6"/>
      <c r="G29" s="6"/>
      <c r="H29" s="6"/>
    </row>
    <row r="30" spans="1:8" x14ac:dyDescent="0.45">
      <c r="A30" s="6">
        <v>26</v>
      </c>
      <c r="B30" s="6"/>
      <c r="C30" s="6"/>
      <c r="D30" s="6"/>
      <c r="E30" s="6"/>
      <c r="F30" s="6"/>
      <c r="G30" s="6"/>
      <c r="H30" s="6"/>
    </row>
    <row r="31" spans="1:8" x14ac:dyDescent="0.45">
      <c r="A31" s="6">
        <v>27</v>
      </c>
      <c r="B31" s="6"/>
      <c r="C31" s="6"/>
      <c r="D31" s="6"/>
      <c r="E31" s="6"/>
      <c r="F31" s="6"/>
      <c r="G31" s="6"/>
      <c r="H31" s="6"/>
    </row>
    <row r="32" spans="1:8" x14ac:dyDescent="0.45">
      <c r="A32" s="6">
        <v>28</v>
      </c>
      <c r="B32" s="6"/>
      <c r="C32" s="6"/>
      <c r="D32" s="6"/>
      <c r="E32" s="6"/>
      <c r="F32" s="6"/>
      <c r="G32" s="6"/>
      <c r="H32" s="6"/>
    </row>
    <row r="33" spans="1:8" x14ac:dyDescent="0.45">
      <c r="A33" s="6">
        <v>29</v>
      </c>
      <c r="B33" s="6"/>
      <c r="C33" s="6"/>
      <c r="D33" s="6"/>
      <c r="E33" s="6"/>
      <c r="F33" s="6"/>
      <c r="G33" s="6"/>
      <c r="H33" s="6"/>
    </row>
    <row r="34" spans="1:8" x14ac:dyDescent="0.45">
      <c r="A34" s="6">
        <v>30</v>
      </c>
      <c r="B34" s="6"/>
      <c r="C34" s="6"/>
      <c r="D34" s="6"/>
      <c r="E34" s="6"/>
      <c r="F34" s="6"/>
      <c r="G34" s="6"/>
      <c r="H34" s="6"/>
    </row>
    <row r="35" spans="1:8" x14ac:dyDescent="0.45">
      <c r="A35" s="6">
        <v>31</v>
      </c>
      <c r="B35" s="6"/>
      <c r="C35" s="6"/>
      <c r="D35" s="6"/>
      <c r="E35" s="6"/>
      <c r="F35" s="6"/>
      <c r="G35" s="6"/>
      <c r="H35" s="6"/>
    </row>
    <row r="36" spans="1:8" x14ac:dyDescent="0.45">
      <c r="A36" s="6">
        <v>32</v>
      </c>
      <c r="B36" s="6"/>
      <c r="C36" s="6"/>
      <c r="D36" s="6"/>
      <c r="E36" s="6"/>
      <c r="F36" s="6"/>
      <c r="G36" s="6"/>
      <c r="H36" s="6"/>
    </row>
    <row r="37" spans="1:8" x14ac:dyDescent="0.45">
      <c r="A37" s="6">
        <v>33</v>
      </c>
      <c r="B37" s="6"/>
      <c r="C37" s="6"/>
      <c r="D37" s="6"/>
      <c r="E37" s="6"/>
      <c r="F37" s="6"/>
      <c r="G37" s="6"/>
      <c r="H37" s="6"/>
    </row>
    <row r="38" spans="1:8" x14ac:dyDescent="0.45">
      <c r="A38" s="6">
        <v>34</v>
      </c>
      <c r="B38" s="6"/>
      <c r="C38" s="6"/>
      <c r="D38" s="6"/>
      <c r="E38" s="6"/>
      <c r="F38" s="6"/>
      <c r="G38" s="6"/>
      <c r="H38" s="6"/>
    </row>
    <row r="39" spans="1:8" x14ac:dyDescent="0.45">
      <c r="A39" s="6">
        <v>35</v>
      </c>
      <c r="B39" s="6"/>
      <c r="C39" s="6"/>
      <c r="D39" s="6"/>
      <c r="E39" s="6"/>
      <c r="F39" s="6"/>
      <c r="G39" s="6"/>
      <c r="H39" s="6"/>
    </row>
    <row r="40" spans="1:8" x14ac:dyDescent="0.45">
      <c r="A40" s="6">
        <v>36</v>
      </c>
      <c r="B40" s="6"/>
      <c r="C40" s="6"/>
      <c r="D40" s="6"/>
      <c r="E40" s="6"/>
      <c r="F40" s="6"/>
      <c r="G40" s="6"/>
      <c r="H40" s="6"/>
    </row>
    <row r="41" spans="1:8" x14ac:dyDescent="0.45">
      <c r="A41" s="6">
        <v>37</v>
      </c>
      <c r="B41" s="6"/>
      <c r="C41" s="6"/>
      <c r="D41" s="6"/>
      <c r="E41" s="6"/>
      <c r="F41" s="6"/>
      <c r="G41" s="6"/>
      <c r="H41" s="6"/>
    </row>
    <row r="42" spans="1:8" x14ac:dyDescent="0.45">
      <c r="A42" s="6">
        <v>38</v>
      </c>
      <c r="B42" s="6"/>
      <c r="C42" s="6"/>
      <c r="D42" s="6"/>
      <c r="E42" s="6"/>
      <c r="F42" s="6"/>
      <c r="G42" s="6"/>
      <c r="H42" s="6"/>
    </row>
    <row r="43" spans="1:8" x14ac:dyDescent="0.45">
      <c r="A43" s="6">
        <v>39</v>
      </c>
      <c r="B43" s="6"/>
      <c r="C43" s="6"/>
      <c r="D43" s="6"/>
      <c r="E43" s="6"/>
      <c r="F43" s="6"/>
      <c r="G43" s="6"/>
      <c r="H43" s="6"/>
    </row>
    <row r="44" spans="1:8" x14ac:dyDescent="0.45">
      <c r="A44" s="6">
        <v>40</v>
      </c>
      <c r="B44" s="6"/>
      <c r="C44" s="6"/>
      <c r="D44" s="6"/>
      <c r="E44" s="6"/>
      <c r="F44" s="6"/>
      <c r="G44" s="6"/>
      <c r="H44" s="6"/>
    </row>
    <row r="45" spans="1:8" x14ac:dyDescent="0.45">
      <c r="A45" s="6">
        <v>41</v>
      </c>
      <c r="B45" s="6"/>
      <c r="C45" s="6"/>
      <c r="D45" s="6"/>
      <c r="E45" s="6"/>
      <c r="F45" s="6"/>
      <c r="G45" s="6"/>
      <c r="H45" s="6"/>
    </row>
    <row r="46" spans="1:8" x14ac:dyDescent="0.45">
      <c r="A46" s="6">
        <v>42</v>
      </c>
      <c r="B46" s="6"/>
      <c r="C46" s="6"/>
      <c r="D46" s="6"/>
      <c r="E46" s="6"/>
      <c r="F46" s="6"/>
      <c r="G46" s="6"/>
      <c r="H46" s="6"/>
    </row>
    <row r="47" spans="1:8" x14ac:dyDescent="0.45">
      <c r="A47" s="6">
        <v>43</v>
      </c>
      <c r="B47" s="6"/>
      <c r="C47" s="6"/>
      <c r="D47" s="6"/>
      <c r="E47" s="6"/>
      <c r="F47" s="6"/>
      <c r="G47" s="6"/>
      <c r="H47" s="6"/>
    </row>
    <row r="48" spans="1:8" x14ac:dyDescent="0.45">
      <c r="A48" s="6">
        <v>44</v>
      </c>
      <c r="B48" s="6"/>
      <c r="C48" s="6"/>
      <c r="D48" s="6"/>
      <c r="E48" s="6"/>
      <c r="F48" s="6"/>
      <c r="G48" s="6"/>
      <c r="H48" s="6"/>
    </row>
    <row r="49" spans="1:8" x14ac:dyDescent="0.45">
      <c r="A49" s="6">
        <v>45</v>
      </c>
      <c r="B49" s="6"/>
      <c r="C49" s="6"/>
      <c r="D49" s="6"/>
      <c r="E49" s="6"/>
      <c r="F49" s="6"/>
      <c r="G49" s="6"/>
      <c r="H49" s="6"/>
    </row>
    <row r="50" spans="1:8" x14ac:dyDescent="0.45">
      <c r="A50" s="6">
        <v>46</v>
      </c>
      <c r="B50" s="6"/>
      <c r="C50" s="6"/>
      <c r="D50" s="6"/>
      <c r="E50" s="6"/>
      <c r="F50" s="6"/>
      <c r="G50" s="6"/>
      <c r="H50" s="6"/>
    </row>
    <row r="51" spans="1:8" x14ac:dyDescent="0.45">
      <c r="A51" s="6">
        <v>47</v>
      </c>
      <c r="B51" s="6"/>
      <c r="C51" s="6"/>
      <c r="D51" s="6"/>
      <c r="E51" s="6"/>
      <c r="F51" s="6"/>
      <c r="G51" s="6"/>
      <c r="H51" s="6"/>
    </row>
    <row r="52" spans="1:8" x14ac:dyDescent="0.45">
      <c r="A52" s="6">
        <v>48</v>
      </c>
      <c r="B52" s="6"/>
      <c r="C52" s="6"/>
      <c r="D52" s="6"/>
      <c r="E52" s="6"/>
      <c r="F52" s="6"/>
      <c r="G52" s="6"/>
      <c r="H52" s="6"/>
    </row>
    <row r="53" spans="1:8" x14ac:dyDescent="0.45">
      <c r="A53" s="6">
        <v>49</v>
      </c>
      <c r="B53" s="6"/>
      <c r="C53" s="6"/>
      <c r="D53" s="6"/>
      <c r="E53" s="6"/>
      <c r="F53" s="6"/>
      <c r="G53" s="6"/>
      <c r="H53" s="6"/>
    </row>
    <row r="54" spans="1:8" x14ac:dyDescent="0.45">
      <c r="A54" s="6">
        <v>50</v>
      </c>
      <c r="B54" s="6"/>
      <c r="C54" s="6"/>
      <c r="D54" s="6"/>
      <c r="E54" s="6"/>
      <c r="F54" s="6"/>
      <c r="G54" s="6"/>
      <c r="H54" s="6"/>
    </row>
    <row r="55" spans="1:8" x14ac:dyDescent="0.45">
      <c r="A55" s="6">
        <v>51</v>
      </c>
      <c r="B55" s="6"/>
      <c r="C55" s="6"/>
      <c r="D55" s="6"/>
      <c r="E55" s="6"/>
      <c r="F55" s="6"/>
      <c r="G55" s="6"/>
      <c r="H55" s="6"/>
    </row>
    <row r="56" spans="1:8" x14ac:dyDescent="0.45">
      <c r="A56" s="6">
        <v>52</v>
      </c>
      <c r="B56" s="6"/>
      <c r="C56" s="6"/>
      <c r="D56" s="6"/>
      <c r="E56" s="6"/>
      <c r="F56" s="6"/>
      <c r="G56" s="6"/>
      <c r="H56" s="6"/>
    </row>
    <row r="57" spans="1:8" x14ac:dyDescent="0.45">
      <c r="A57" s="6">
        <v>53</v>
      </c>
      <c r="B57" s="6"/>
      <c r="C57" s="6"/>
      <c r="D57" s="6"/>
      <c r="E57" s="6"/>
      <c r="F57" s="6"/>
      <c r="G57" s="6"/>
      <c r="H57" s="6"/>
    </row>
    <row r="58" spans="1:8" x14ac:dyDescent="0.45">
      <c r="A58" s="6">
        <v>54</v>
      </c>
      <c r="B58" s="6"/>
      <c r="C58" s="6"/>
      <c r="D58" s="6"/>
      <c r="E58" s="6"/>
      <c r="F58" s="6"/>
      <c r="G58" s="6"/>
      <c r="H58" s="6"/>
    </row>
    <row r="59" spans="1:8" x14ac:dyDescent="0.45">
      <c r="A59" s="6">
        <v>55</v>
      </c>
      <c r="B59" s="6"/>
      <c r="C59" s="6"/>
      <c r="D59" s="6"/>
      <c r="E59" s="6"/>
      <c r="F59" s="6"/>
      <c r="G59" s="6"/>
      <c r="H59" s="6"/>
    </row>
    <row r="60" spans="1:8" x14ac:dyDescent="0.45">
      <c r="A60" s="6">
        <v>56</v>
      </c>
      <c r="B60" s="6"/>
      <c r="C60" s="6"/>
      <c r="D60" s="6"/>
      <c r="E60" s="6"/>
      <c r="F60" s="6"/>
      <c r="G60" s="6"/>
      <c r="H60" s="6"/>
    </row>
    <row r="61" spans="1:8" x14ac:dyDescent="0.45">
      <c r="A61" s="6">
        <v>57</v>
      </c>
      <c r="B61" s="6"/>
      <c r="C61" s="6"/>
      <c r="D61" s="6"/>
      <c r="E61" s="6"/>
      <c r="F61" s="6"/>
      <c r="G61" s="6"/>
      <c r="H61" s="6"/>
    </row>
    <row r="62" spans="1:8" x14ac:dyDescent="0.45">
      <c r="A62" s="6">
        <v>58</v>
      </c>
      <c r="B62" s="6"/>
      <c r="C62" s="6"/>
      <c r="D62" s="6"/>
      <c r="E62" s="6"/>
      <c r="F62" s="6"/>
      <c r="G62" s="6"/>
      <c r="H62" s="6"/>
    </row>
    <row r="63" spans="1:8" x14ac:dyDescent="0.45">
      <c r="A63" s="6">
        <v>59</v>
      </c>
      <c r="B63" s="6"/>
      <c r="C63" s="6"/>
      <c r="D63" s="6"/>
      <c r="E63" s="6"/>
      <c r="F63" s="6"/>
      <c r="G63" s="6"/>
      <c r="H63" s="6"/>
    </row>
    <row r="64" spans="1:8" x14ac:dyDescent="0.45">
      <c r="A64" s="6">
        <v>60</v>
      </c>
      <c r="B64" s="6"/>
      <c r="C64" s="6"/>
      <c r="D64" s="6"/>
      <c r="E64" s="6"/>
      <c r="F64" s="6"/>
      <c r="G64" s="6"/>
      <c r="H64" s="6"/>
    </row>
  </sheetData>
  <mergeCells count="2">
    <mergeCell ref="A2:H2"/>
    <mergeCell ref="A1:H1"/>
  </mergeCells>
  <conditionalFormatting sqref="G5:G64">
    <cfRule type="cellIs" dxfId="13" priority="1" operator="equal">
      <formula>"Yes — call booked"</formula>
    </cfRule>
    <cfRule type="cellIs" dxfId="12" priority="2" operator="equal">
      <formula>"Yes — replied"</formula>
    </cfRule>
    <cfRule type="cellIs" dxfId="11" priority="3" operator="equal">
      <formula>"No reply 30d"</formula>
    </cfRule>
  </conditionalFormatting>
  <dataValidations count="1">
    <dataValidation type="list" allowBlank="1" sqref="G5:G64" xr:uid="{00000000-0002-0000-0800-000000000000}">
      <formula1>",Yes — replied,Yes — call booked,No reply 7d,No reply 30d"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9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2" width="14" customWidth="1"/>
    <col min="3" max="3" width="50" customWidth="1"/>
    <col min="4" max="4" width="16" customWidth="1"/>
    <col min="5" max="5" width="40" customWidth="1"/>
    <col min="6" max="6" width="14" customWidth="1"/>
  </cols>
  <sheetData>
    <row r="1" spans="1:6" ht="24" customHeight="1" x14ac:dyDescent="0.65">
      <c r="A1" s="14" t="s">
        <v>551</v>
      </c>
      <c r="B1" s="13"/>
      <c r="C1" s="13"/>
      <c r="D1" s="13"/>
      <c r="E1" s="13"/>
      <c r="F1" s="13"/>
    </row>
    <row r="2" spans="1:6" ht="18" customHeight="1" x14ac:dyDescent="0.45">
      <c r="A2" s="12" t="s">
        <v>552</v>
      </c>
      <c r="B2" s="13"/>
      <c r="C2" s="13"/>
      <c r="D2" s="13"/>
      <c r="E2" s="13"/>
      <c r="F2" s="13"/>
    </row>
    <row r="4" spans="1:6" x14ac:dyDescent="0.45">
      <c r="A4" s="5" t="s">
        <v>504</v>
      </c>
      <c r="B4" s="5" t="s">
        <v>165</v>
      </c>
      <c r="C4" s="5" t="s">
        <v>553</v>
      </c>
      <c r="D4" s="5" t="s">
        <v>198</v>
      </c>
      <c r="E4" s="5" t="s">
        <v>554</v>
      </c>
      <c r="F4" s="5" t="s">
        <v>555</v>
      </c>
    </row>
    <row r="5" spans="1:6" x14ac:dyDescent="0.45">
      <c r="A5" s="6">
        <v>1</v>
      </c>
      <c r="B5" s="6"/>
      <c r="C5" s="6" t="s">
        <v>556</v>
      </c>
      <c r="D5" s="6"/>
      <c r="E5" s="6"/>
      <c r="F5" s="6"/>
    </row>
    <row r="6" spans="1:6" x14ac:dyDescent="0.45">
      <c r="A6" s="6">
        <v>2</v>
      </c>
      <c r="B6" s="6"/>
      <c r="C6" s="6" t="s">
        <v>557</v>
      </c>
      <c r="D6" s="6"/>
      <c r="E6" s="6"/>
      <c r="F6" s="6"/>
    </row>
    <row r="7" spans="1:6" x14ac:dyDescent="0.45">
      <c r="A7" s="6">
        <v>3</v>
      </c>
      <c r="B7" s="6"/>
      <c r="C7" s="6" t="s">
        <v>558</v>
      </c>
      <c r="D7" s="6"/>
      <c r="E7" s="6"/>
      <c r="F7" s="6"/>
    </row>
    <row r="8" spans="1:6" x14ac:dyDescent="0.45">
      <c r="A8" s="6">
        <v>4</v>
      </c>
      <c r="B8" s="6"/>
      <c r="C8" s="6" t="s">
        <v>559</v>
      </c>
      <c r="D8" s="6"/>
      <c r="E8" s="6"/>
      <c r="F8" s="6"/>
    </row>
    <row r="9" spans="1:6" ht="28.5" x14ac:dyDescent="0.45">
      <c r="A9" s="6">
        <v>5</v>
      </c>
      <c r="B9" s="6"/>
      <c r="C9" s="6" t="s">
        <v>560</v>
      </c>
      <c r="D9" s="6"/>
      <c r="E9" s="6"/>
      <c r="F9" s="6"/>
    </row>
    <row r="10" spans="1:6" x14ac:dyDescent="0.45">
      <c r="A10" s="6">
        <v>6</v>
      </c>
      <c r="B10" s="6"/>
      <c r="C10" s="6" t="s">
        <v>561</v>
      </c>
      <c r="D10" s="6"/>
      <c r="E10" s="6"/>
      <c r="F10" s="6"/>
    </row>
    <row r="11" spans="1:6" x14ac:dyDescent="0.45">
      <c r="A11" s="6">
        <v>7</v>
      </c>
      <c r="B11" s="6"/>
      <c r="C11" s="6" t="s">
        <v>562</v>
      </c>
      <c r="D11" s="6"/>
      <c r="E11" s="6"/>
      <c r="F11" s="6"/>
    </row>
    <row r="12" spans="1:6" x14ac:dyDescent="0.45">
      <c r="A12" s="6">
        <v>8</v>
      </c>
      <c r="B12" s="6"/>
      <c r="C12" s="6" t="s">
        <v>563</v>
      </c>
      <c r="D12" s="6"/>
      <c r="E12" s="6"/>
      <c r="F12" s="6"/>
    </row>
    <row r="13" spans="1:6" x14ac:dyDescent="0.45">
      <c r="A13" s="6">
        <v>9</v>
      </c>
      <c r="B13" s="6"/>
      <c r="C13" s="6" t="s">
        <v>564</v>
      </c>
      <c r="D13" s="6"/>
      <c r="E13" s="6"/>
      <c r="F13" s="6"/>
    </row>
    <row r="14" spans="1:6" x14ac:dyDescent="0.45">
      <c r="A14" s="6">
        <v>10</v>
      </c>
      <c r="B14" s="6"/>
      <c r="C14" s="6" t="s">
        <v>565</v>
      </c>
      <c r="D14" s="6"/>
      <c r="E14" s="6"/>
      <c r="F14" s="6"/>
    </row>
    <row r="15" spans="1:6" x14ac:dyDescent="0.45">
      <c r="A15" s="6">
        <v>11</v>
      </c>
      <c r="B15" s="6"/>
      <c r="C15" s="6" t="s">
        <v>566</v>
      </c>
      <c r="D15" s="6"/>
      <c r="E15" s="6"/>
      <c r="F15" s="6"/>
    </row>
    <row r="16" spans="1:6" x14ac:dyDescent="0.45">
      <c r="A16" s="6">
        <v>12</v>
      </c>
      <c r="B16" s="6"/>
      <c r="C16" s="6" t="s">
        <v>567</v>
      </c>
      <c r="D16" s="6"/>
      <c r="E16" s="6"/>
      <c r="F16" s="6"/>
    </row>
    <row r="17" spans="1:6" x14ac:dyDescent="0.45">
      <c r="A17" s="6">
        <v>13</v>
      </c>
      <c r="B17" s="6"/>
      <c r="C17" s="6" t="s">
        <v>568</v>
      </c>
      <c r="D17" s="6"/>
      <c r="E17" s="6"/>
      <c r="F17" s="6"/>
    </row>
    <row r="18" spans="1:6" x14ac:dyDescent="0.45">
      <c r="A18" s="6">
        <v>14</v>
      </c>
      <c r="B18" s="6"/>
      <c r="C18" s="6" t="s">
        <v>569</v>
      </c>
      <c r="D18" s="6"/>
      <c r="E18" s="6"/>
      <c r="F18" s="6"/>
    </row>
    <row r="19" spans="1:6" x14ac:dyDescent="0.45">
      <c r="A19" s="6">
        <v>15</v>
      </c>
      <c r="B19" s="6"/>
      <c r="C19" s="6" t="s">
        <v>570</v>
      </c>
      <c r="D19" s="6"/>
      <c r="E19" s="6"/>
      <c r="F19" s="6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8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50" customWidth="1"/>
    <col min="2" max="2" width="14" customWidth="1"/>
    <col min="3" max="3" width="38" customWidth="1"/>
    <col min="4" max="6" width="14" customWidth="1"/>
  </cols>
  <sheetData>
    <row r="1" spans="1:6" ht="24" customHeight="1" x14ac:dyDescent="0.65">
      <c r="A1" s="14" t="s">
        <v>571</v>
      </c>
      <c r="B1" s="13"/>
      <c r="C1" s="13"/>
      <c r="D1" s="13"/>
      <c r="E1" s="13"/>
      <c r="F1" s="13"/>
    </row>
    <row r="2" spans="1:6" ht="18" customHeight="1" x14ac:dyDescent="0.45">
      <c r="A2" s="12" t="s">
        <v>572</v>
      </c>
      <c r="B2" s="13"/>
      <c r="C2" s="13"/>
      <c r="D2" s="13"/>
      <c r="E2" s="13"/>
      <c r="F2" s="13"/>
    </row>
    <row r="4" spans="1:6" x14ac:dyDescent="0.45">
      <c r="A4" s="5" t="s">
        <v>573</v>
      </c>
      <c r="B4" s="5" t="s">
        <v>574</v>
      </c>
      <c r="C4" s="5" t="s">
        <v>575</v>
      </c>
      <c r="D4" s="5" t="s">
        <v>194</v>
      </c>
      <c r="E4" s="5" t="s">
        <v>195</v>
      </c>
      <c r="F4" s="5" t="s">
        <v>38</v>
      </c>
    </row>
    <row r="5" spans="1:6" x14ac:dyDescent="0.45">
      <c r="A5" s="6" t="s">
        <v>576</v>
      </c>
      <c r="B5" s="6" t="s">
        <v>577</v>
      </c>
      <c r="C5" s="6" t="s">
        <v>578</v>
      </c>
      <c r="D5" s="6">
        <v>10</v>
      </c>
      <c r="E5" s="6">
        <v>0</v>
      </c>
      <c r="F5" s="6" t="s">
        <v>43</v>
      </c>
    </row>
    <row r="6" spans="1:6" x14ac:dyDescent="0.45">
      <c r="A6" s="6" t="s">
        <v>579</v>
      </c>
      <c r="B6" s="6" t="s">
        <v>577</v>
      </c>
      <c r="C6" s="6" t="s">
        <v>580</v>
      </c>
      <c r="D6" s="6">
        <v>12</v>
      </c>
      <c r="E6" s="6">
        <v>0</v>
      </c>
      <c r="F6" s="6" t="s">
        <v>43</v>
      </c>
    </row>
    <row r="7" spans="1:6" x14ac:dyDescent="0.45">
      <c r="A7" s="6" t="s">
        <v>581</v>
      </c>
      <c r="B7" s="6" t="s">
        <v>582</v>
      </c>
      <c r="C7" s="6" t="s">
        <v>583</v>
      </c>
      <c r="D7" s="6">
        <v>3</v>
      </c>
      <c r="E7" s="6">
        <v>0</v>
      </c>
      <c r="F7" s="6" t="s">
        <v>43</v>
      </c>
    </row>
    <row r="8" spans="1:6" x14ac:dyDescent="0.45">
      <c r="A8" s="6" t="s">
        <v>584</v>
      </c>
      <c r="B8" s="6" t="s">
        <v>577</v>
      </c>
      <c r="C8" s="6" t="s">
        <v>585</v>
      </c>
      <c r="D8" s="6">
        <v>4</v>
      </c>
      <c r="E8" s="6">
        <v>0</v>
      </c>
      <c r="F8" s="6" t="s">
        <v>43</v>
      </c>
    </row>
    <row r="9" spans="1:6" x14ac:dyDescent="0.45">
      <c r="A9" s="6" t="s">
        <v>586</v>
      </c>
      <c r="B9" s="6" t="s">
        <v>587</v>
      </c>
      <c r="C9" s="6" t="s">
        <v>588</v>
      </c>
      <c r="D9" s="6">
        <v>3</v>
      </c>
      <c r="E9" s="6">
        <v>0</v>
      </c>
      <c r="F9" s="6" t="s">
        <v>43</v>
      </c>
    </row>
    <row r="10" spans="1:6" x14ac:dyDescent="0.45">
      <c r="A10" s="6" t="s">
        <v>589</v>
      </c>
      <c r="B10" s="6" t="s">
        <v>577</v>
      </c>
      <c r="C10" s="6" t="s">
        <v>590</v>
      </c>
      <c r="D10" s="6">
        <v>2</v>
      </c>
      <c r="E10" s="6">
        <v>0</v>
      </c>
      <c r="F10" s="6" t="s">
        <v>43</v>
      </c>
    </row>
    <row r="11" spans="1:6" x14ac:dyDescent="0.45">
      <c r="A11" s="6" t="s">
        <v>591</v>
      </c>
      <c r="B11" s="6" t="s">
        <v>587</v>
      </c>
      <c r="C11" s="6" t="s">
        <v>592</v>
      </c>
      <c r="D11" s="6">
        <v>4</v>
      </c>
      <c r="E11" s="6">
        <v>0</v>
      </c>
      <c r="F11" s="6" t="s">
        <v>43</v>
      </c>
    </row>
    <row r="12" spans="1:6" x14ac:dyDescent="0.45">
      <c r="A12" s="6" t="s">
        <v>593</v>
      </c>
      <c r="B12" s="6" t="s">
        <v>577</v>
      </c>
      <c r="C12" s="6" t="s">
        <v>594</v>
      </c>
      <c r="D12" s="6">
        <v>8</v>
      </c>
      <c r="E12" s="6">
        <v>0</v>
      </c>
      <c r="F12" s="6" t="s">
        <v>43</v>
      </c>
    </row>
    <row r="13" spans="1:6" x14ac:dyDescent="0.45">
      <c r="A13" s="6" t="s">
        <v>595</v>
      </c>
      <c r="B13" s="6" t="s">
        <v>587</v>
      </c>
      <c r="C13" s="6" t="s">
        <v>596</v>
      </c>
      <c r="D13" s="6">
        <v>3</v>
      </c>
      <c r="E13" s="6">
        <v>0</v>
      </c>
      <c r="F13" s="6" t="s">
        <v>43</v>
      </c>
    </row>
    <row r="14" spans="1:6" x14ac:dyDescent="0.45">
      <c r="A14" s="6" t="s">
        <v>597</v>
      </c>
      <c r="B14" s="6" t="s">
        <v>598</v>
      </c>
      <c r="C14" s="6" t="s">
        <v>599</v>
      </c>
      <c r="D14" s="6">
        <v>8</v>
      </c>
      <c r="E14" s="6">
        <v>0</v>
      </c>
      <c r="F14" s="6" t="s">
        <v>43</v>
      </c>
    </row>
    <row r="15" spans="1:6" x14ac:dyDescent="0.45">
      <c r="A15" s="6" t="s">
        <v>600</v>
      </c>
      <c r="B15" s="6" t="s">
        <v>601</v>
      </c>
      <c r="C15" s="6" t="s">
        <v>602</v>
      </c>
      <c r="D15" s="6">
        <v>1</v>
      </c>
      <c r="E15" s="6">
        <v>0</v>
      </c>
      <c r="F15" s="6" t="s">
        <v>43</v>
      </c>
    </row>
    <row r="16" spans="1:6" x14ac:dyDescent="0.45">
      <c r="A16" s="6" t="s">
        <v>603</v>
      </c>
      <c r="B16" s="6" t="s">
        <v>587</v>
      </c>
      <c r="C16" s="6" t="s">
        <v>604</v>
      </c>
      <c r="D16" s="6">
        <v>4</v>
      </c>
      <c r="E16" s="6">
        <v>0</v>
      </c>
      <c r="F16" s="6" t="s">
        <v>43</v>
      </c>
    </row>
    <row r="17" spans="1:6" x14ac:dyDescent="0.45">
      <c r="A17" s="6" t="s">
        <v>605</v>
      </c>
      <c r="B17" s="6" t="s">
        <v>587</v>
      </c>
      <c r="C17" s="6" t="s">
        <v>606</v>
      </c>
      <c r="D17" s="6">
        <v>3</v>
      </c>
      <c r="E17" s="6">
        <v>0</v>
      </c>
      <c r="F17" s="6" t="s">
        <v>43</v>
      </c>
    </row>
    <row r="18" spans="1:6" x14ac:dyDescent="0.45">
      <c r="A18" s="6" t="s">
        <v>607</v>
      </c>
      <c r="B18" s="6" t="s">
        <v>577</v>
      </c>
      <c r="C18" s="6" t="s">
        <v>608</v>
      </c>
      <c r="D18" s="6">
        <v>3</v>
      </c>
      <c r="E18" s="6">
        <v>0</v>
      </c>
      <c r="F18" s="6" t="s">
        <v>43</v>
      </c>
    </row>
    <row r="19" spans="1:6" x14ac:dyDescent="0.45">
      <c r="A19" s="6" t="s">
        <v>609</v>
      </c>
      <c r="B19" s="6" t="s">
        <v>610</v>
      </c>
      <c r="C19" s="6" t="s">
        <v>611</v>
      </c>
      <c r="D19" s="6">
        <v>2</v>
      </c>
      <c r="E19" s="6">
        <v>0</v>
      </c>
      <c r="F19" s="6" t="s">
        <v>43</v>
      </c>
    </row>
    <row r="20" spans="1:6" x14ac:dyDescent="0.45">
      <c r="A20" s="6" t="s">
        <v>612</v>
      </c>
      <c r="B20" s="6" t="s">
        <v>613</v>
      </c>
      <c r="C20" s="6" t="s">
        <v>614</v>
      </c>
      <c r="D20" s="6">
        <v>4</v>
      </c>
      <c r="E20" s="6">
        <v>0</v>
      </c>
      <c r="F20" s="6" t="s">
        <v>43</v>
      </c>
    </row>
    <row r="21" spans="1:6" x14ac:dyDescent="0.45">
      <c r="A21" s="6" t="s">
        <v>615</v>
      </c>
      <c r="B21" s="6" t="s">
        <v>582</v>
      </c>
      <c r="C21" s="6" t="s">
        <v>616</v>
      </c>
      <c r="D21" s="6">
        <v>1</v>
      </c>
      <c r="E21" s="6">
        <v>0</v>
      </c>
      <c r="F21" s="6" t="s">
        <v>43</v>
      </c>
    </row>
    <row r="22" spans="1:6" x14ac:dyDescent="0.45">
      <c r="A22" s="6" t="s">
        <v>617</v>
      </c>
      <c r="B22" s="6" t="s">
        <v>587</v>
      </c>
      <c r="C22" s="6" t="s">
        <v>618</v>
      </c>
      <c r="D22" s="6">
        <v>2</v>
      </c>
      <c r="E22" s="6">
        <v>0</v>
      </c>
      <c r="F22" s="6" t="s">
        <v>43</v>
      </c>
    </row>
    <row r="23" spans="1:6" x14ac:dyDescent="0.45">
      <c r="A23" s="6" t="s">
        <v>619</v>
      </c>
      <c r="B23" s="6" t="s">
        <v>582</v>
      </c>
      <c r="C23" s="6" t="s">
        <v>620</v>
      </c>
      <c r="D23" s="6">
        <v>2</v>
      </c>
      <c r="E23" s="6">
        <v>0</v>
      </c>
      <c r="F23" s="6" t="s">
        <v>43</v>
      </c>
    </row>
    <row r="24" spans="1:6" x14ac:dyDescent="0.45">
      <c r="A24" s="6" t="s">
        <v>621</v>
      </c>
      <c r="B24" s="6" t="s">
        <v>622</v>
      </c>
      <c r="C24" s="6" t="s">
        <v>623</v>
      </c>
      <c r="D24" s="6">
        <v>1</v>
      </c>
      <c r="E24" s="6">
        <v>0</v>
      </c>
      <c r="F24" s="6" t="s">
        <v>43</v>
      </c>
    </row>
    <row r="25" spans="1:6" x14ac:dyDescent="0.45">
      <c r="A25" s="6" t="s">
        <v>624</v>
      </c>
      <c r="B25" s="6" t="s">
        <v>577</v>
      </c>
      <c r="C25" s="6" t="s">
        <v>625</v>
      </c>
      <c r="D25" s="6">
        <v>2</v>
      </c>
      <c r="E25" s="6">
        <v>0</v>
      </c>
      <c r="F25" s="6" t="s">
        <v>43</v>
      </c>
    </row>
    <row r="26" spans="1:6" x14ac:dyDescent="0.45">
      <c r="A26" s="6" t="s">
        <v>626</v>
      </c>
      <c r="B26" s="6" t="s">
        <v>577</v>
      </c>
      <c r="C26" s="6" t="s">
        <v>627</v>
      </c>
      <c r="D26" s="6">
        <v>2</v>
      </c>
      <c r="E26" s="6">
        <v>0</v>
      </c>
      <c r="F26" s="6" t="s">
        <v>43</v>
      </c>
    </row>
    <row r="27" spans="1:6" x14ac:dyDescent="0.45">
      <c r="A27" s="6" t="s">
        <v>628</v>
      </c>
      <c r="B27" s="6" t="s">
        <v>577</v>
      </c>
      <c r="C27" s="6" t="s">
        <v>629</v>
      </c>
      <c r="D27" s="6">
        <v>5</v>
      </c>
      <c r="E27" s="6">
        <v>0</v>
      </c>
      <c r="F27" s="6" t="s">
        <v>43</v>
      </c>
    </row>
    <row r="28" spans="1:6" x14ac:dyDescent="0.45">
      <c r="A28" s="6" t="s">
        <v>630</v>
      </c>
      <c r="B28" s="6" t="s">
        <v>577</v>
      </c>
      <c r="C28" s="6" t="s">
        <v>631</v>
      </c>
      <c r="D28" s="6">
        <v>30</v>
      </c>
      <c r="E28" s="6">
        <v>0</v>
      </c>
      <c r="F28" s="6" t="s">
        <v>43</v>
      </c>
    </row>
    <row r="29" spans="1:6" x14ac:dyDescent="0.45">
      <c r="A29" s="6" t="s">
        <v>632</v>
      </c>
      <c r="B29" s="6" t="s">
        <v>577</v>
      </c>
      <c r="C29" s="6" t="s">
        <v>633</v>
      </c>
      <c r="D29" s="6">
        <v>20</v>
      </c>
      <c r="E29" s="6">
        <v>0</v>
      </c>
      <c r="F29" s="6" t="s">
        <v>43</v>
      </c>
    </row>
    <row r="30" spans="1:6" x14ac:dyDescent="0.45">
      <c r="A30" s="6" t="s">
        <v>634</v>
      </c>
      <c r="B30" s="6" t="s">
        <v>577</v>
      </c>
      <c r="C30" s="6" t="s">
        <v>635</v>
      </c>
      <c r="D30" s="6">
        <v>25</v>
      </c>
      <c r="E30" s="6">
        <v>0</v>
      </c>
      <c r="F30" s="6" t="s">
        <v>43</v>
      </c>
    </row>
    <row r="31" spans="1:6" ht="28.5" x14ac:dyDescent="0.45">
      <c r="A31" s="6" t="s">
        <v>636</v>
      </c>
      <c r="B31" s="6" t="s">
        <v>610</v>
      </c>
      <c r="C31" s="6" t="s">
        <v>637</v>
      </c>
      <c r="D31" s="6">
        <v>3</v>
      </c>
      <c r="E31" s="6">
        <v>0</v>
      </c>
      <c r="F31" s="6" t="s">
        <v>43</v>
      </c>
    </row>
    <row r="32" spans="1:6" x14ac:dyDescent="0.45">
      <c r="A32" s="6" t="s">
        <v>638</v>
      </c>
      <c r="B32" s="6" t="s">
        <v>587</v>
      </c>
      <c r="C32" s="6" t="s">
        <v>639</v>
      </c>
      <c r="D32" s="6">
        <v>2</v>
      </c>
      <c r="E32" s="6">
        <v>0</v>
      </c>
      <c r="F32" s="6" t="s">
        <v>43</v>
      </c>
    </row>
    <row r="33" spans="1:6" x14ac:dyDescent="0.45">
      <c r="A33" s="6" t="s">
        <v>640</v>
      </c>
      <c r="B33" s="6" t="s">
        <v>587</v>
      </c>
      <c r="C33" s="6" t="s">
        <v>641</v>
      </c>
      <c r="D33" s="6">
        <v>2</v>
      </c>
      <c r="E33" s="6">
        <v>0</v>
      </c>
      <c r="F33" s="6" t="s">
        <v>43</v>
      </c>
    </row>
    <row r="34" spans="1:6" x14ac:dyDescent="0.45">
      <c r="A34" s="6" t="s">
        <v>642</v>
      </c>
      <c r="B34" s="6" t="s">
        <v>598</v>
      </c>
      <c r="C34" s="6" t="s">
        <v>129</v>
      </c>
      <c r="D34" s="6">
        <v>6</v>
      </c>
      <c r="E34" s="6">
        <v>0</v>
      </c>
      <c r="F34" s="6" t="s">
        <v>43</v>
      </c>
    </row>
    <row r="35" spans="1:6" x14ac:dyDescent="0.45">
      <c r="A35" s="6" t="s">
        <v>643</v>
      </c>
      <c r="B35" s="6" t="s">
        <v>577</v>
      </c>
      <c r="C35" s="6" t="s">
        <v>644</v>
      </c>
      <c r="D35" s="6">
        <v>15</v>
      </c>
      <c r="E35" s="6">
        <v>0</v>
      </c>
      <c r="F35" s="6" t="s">
        <v>43</v>
      </c>
    </row>
    <row r="36" spans="1:6" x14ac:dyDescent="0.45">
      <c r="A36" s="6" t="s">
        <v>645</v>
      </c>
      <c r="B36" s="6" t="s">
        <v>646</v>
      </c>
      <c r="C36" s="6" t="s">
        <v>647</v>
      </c>
      <c r="D36" s="6">
        <v>6</v>
      </c>
      <c r="E36" s="6">
        <v>0</v>
      </c>
      <c r="F36" s="6" t="s">
        <v>43</v>
      </c>
    </row>
    <row r="37" spans="1:6" x14ac:dyDescent="0.45">
      <c r="A37" s="6" t="s">
        <v>648</v>
      </c>
      <c r="B37" s="6" t="s">
        <v>587</v>
      </c>
      <c r="C37" s="6" t="s">
        <v>649</v>
      </c>
      <c r="D37" s="6">
        <v>2</v>
      </c>
      <c r="E37" s="6">
        <v>0</v>
      </c>
      <c r="F37" s="6" t="s">
        <v>43</v>
      </c>
    </row>
    <row r="38" spans="1:6" x14ac:dyDescent="0.45">
      <c r="A38" s="6" t="s">
        <v>650</v>
      </c>
      <c r="B38" s="6" t="s">
        <v>577</v>
      </c>
      <c r="C38" s="6" t="s">
        <v>651</v>
      </c>
      <c r="D38" s="6">
        <v>30</v>
      </c>
      <c r="E38" s="6">
        <v>0</v>
      </c>
      <c r="F38" s="6" t="s">
        <v>43</v>
      </c>
    </row>
  </sheetData>
  <mergeCells count="2">
    <mergeCell ref="A2:F2"/>
    <mergeCell ref="A1:F1"/>
  </mergeCells>
  <conditionalFormatting sqref="F5:F38">
    <cfRule type="cellIs" dxfId="10" priority="1" operator="equal">
      <formula>"Done"</formula>
    </cfRule>
    <cfRule type="cellIs" dxfId="9" priority="2" operator="equal">
      <formula>"In progress"</formula>
    </cfRule>
    <cfRule type="cellIs" dxfId="8" priority="3" operator="equal">
      <formula>"Dropped"</formula>
    </cfRule>
    <cfRule type="cellIs" dxfId="7" priority="4" operator="equal">
      <formula>"Not started"</formula>
    </cfRule>
  </conditionalFormatting>
  <dataValidations count="1">
    <dataValidation type="list" allowBlank="1" sqref="F5:F38" xr:uid="{00000000-0002-0000-0A00-000000000000}">
      <formula1>"Not started,In progress,Done,Dropped,On hold"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4" customWidth="1"/>
    <col min="2" max="2" width="50" customWidth="1"/>
    <col min="3" max="4" width="14" customWidth="1"/>
    <col min="5" max="5" width="10" customWidth="1"/>
    <col min="6" max="6" width="50" customWidth="1"/>
    <col min="7" max="7" width="14" customWidth="1"/>
  </cols>
  <sheetData>
    <row r="1" spans="1:7" ht="24" customHeight="1" x14ac:dyDescent="0.65">
      <c r="A1" s="14" t="s">
        <v>652</v>
      </c>
      <c r="B1" s="13"/>
      <c r="C1" s="13"/>
      <c r="D1" s="13"/>
      <c r="E1" s="13"/>
      <c r="F1" s="13"/>
      <c r="G1" s="13"/>
    </row>
    <row r="2" spans="1:7" ht="18" customHeight="1" x14ac:dyDescent="0.45">
      <c r="A2" s="12" t="s">
        <v>653</v>
      </c>
      <c r="B2" s="13"/>
      <c r="C2" s="13"/>
      <c r="D2" s="13"/>
      <c r="E2" s="13"/>
      <c r="F2" s="13"/>
      <c r="G2" s="13"/>
    </row>
    <row r="4" spans="1:7" x14ac:dyDescent="0.45">
      <c r="A4" s="5" t="s">
        <v>504</v>
      </c>
      <c r="B4" s="5" t="s">
        <v>654</v>
      </c>
      <c r="C4" s="5" t="s">
        <v>655</v>
      </c>
      <c r="D4" s="5" t="s">
        <v>656</v>
      </c>
      <c r="E4" s="5" t="s">
        <v>657</v>
      </c>
      <c r="F4" s="5" t="s">
        <v>658</v>
      </c>
      <c r="G4" s="5" t="s">
        <v>38</v>
      </c>
    </row>
    <row r="5" spans="1:7" ht="28.5" x14ac:dyDescent="0.45">
      <c r="A5" s="6">
        <v>1</v>
      </c>
      <c r="B5" s="6" t="s">
        <v>659</v>
      </c>
      <c r="C5" s="6">
        <v>4</v>
      </c>
      <c r="D5" s="6">
        <v>5</v>
      </c>
      <c r="E5" s="6">
        <f t="shared" ref="E5:E22" si="0">C5*D5</f>
        <v>20</v>
      </c>
      <c r="F5" s="6" t="s">
        <v>660</v>
      </c>
      <c r="G5" s="6" t="s">
        <v>661</v>
      </c>
    </row>
    <row r="6" spans="1:7" x14ac:dyDescent="0.45">
      <c r="A6" s="6">
        <v>2</v>
      </c>
      <c r="B6" s="6" t="s">
        <v>662</v>
      </c>
      <c r="C6" s="6">
        <v>3</v>
      </c>
      <c r="D6" s="6">
        <v>3</v>
      </c>
      <c r="E6" s="6">
        <f t="shared" si="0"/>
        <v>9</v>
      </c>
      <c r="F6" s="6" t="s">
        <v>663</v>
      </c>
      <c r="G6" s="6" t="s">
        <v>661</v>
      </c>
    </row>
    <row r="7" spans="1:7" ht="28.5" x14ac:dyDescent="0.45">
      <c r="A7" s="6">
        <v>3</v>
      </c>
      <c r="B7" s="6" t="s">
        <v>664</v>
      </c>
      <c r="C7" s="6">
        <v>3</v>
      </c>
      <c r="D7" s="6">
        <v>3</v>
      </c>
      <c r="E7" s="6">
        <f t="shared" si="0"/>
        <v>9</v>
      </c>
      <c r="F7" s="6" t="s">
        <v>665</v>
      </c>
      <c r="G7" s="6" t="s">
        <v>661</v>
      </c>
    </row>
    <row r="8" spans="1:7" x14ac:dyDescent="0.45">
      <c r="A8" s="6">
        <v>4</v>
      </c>
      <c r="B8" s="6" t="s">
        <v>666</v>
      </c>
      <c r="C8" s="6">
        <v>3</v>
      </c>
      <c r="D8" s="6">
        <v>3</v>
      </c>
      <c r="E8" s="6">
        <f t="shared" si="0"/>
        <v>9</v>
      </c>
      <c r="F8" s="6" t="s">
        <v>667</v>
      </c>
      <c r="G8" s="6" t="s">
        <v>661</v>
      </c>
    </row>
    <row r="9" spans="1:7" x14ac:dyDescent="0.45">
      <c r="A9" s="6">
        <v>5</v>
      </c>
      <c r="B9" s="6" t="s">
        <v>668</v>
      </c>
      <c r="C9" s="6">
        <v>3</v>
      </c>
      <c r="D9" s="6">
        <v>4</v>
      </c>
      <c r="E9" s="6">
        <f t="shared" si="0"/>
        <v>12</v>
      </c>
      <c r="F9" s="6" t="s">
        <v>669</v>
      </c>
      <c r="G9" s="6" t="s">
        <v>661</v>
      </c>
    </row>
    <row r="10" spans="1:7" ht="28.5" x14ac:dyDescent="0.45">
      <c r="A10" s="6">
        <v>6</v>
      </c>
      <c r="B10" s="6" t="s">
        <v>670</v>
      </c>
      <c r="C10" s="6">
        <v>3</v>
      </c>
      <c r="D10" s="6">
        <v>4</v>
      </c>
      <c r="E10" s="6">
        <f t="shared" si="0"/>
        <v>12</v>
      </c>
      <c r="F10" s="6" t="s">
        <v>671</v>
      </c>
      <c r="G10" s="6" t="s">
        <v>661</v>
      </c>
    </row>
    <row r="11" spans="1:7" ht="28.5" x14ac:dyDescent="0.45">
      <c r="A11" s="6">
        <v>7</v>
      </c>
      <c r="B11" s="6" t="s">
        <v>672</v>
      </c>
      <c r="C11" s="6">
        <v>2</v>
      </c>
      <c r="D11" s="6">
        <v>2</v>
      </c>
      <c r="E11" s="6">
        <f t="shared" si="0"/>
        <v>4</v>
      </c>
      <c r="F11" s="6" t="s">
        <v>673</v>
      </c>
      <c r="G11" s="6" t="s">
        <v>661</v>
      </c>
    </row>
    <row r="12" spans="1:7" ht="28.5" x14ac:dyDescent="0.45">
      <c r="A12" s="6">
        <v>8</v>
      </c>
      <c r="B12" s="6" t="s">
        <v>674</v>
      </c>
      <c r="C12" s="6">
        <v>4</v>
      </c>
      <c r="D12" s="6">
        <v>2</v>
      </c>
      <c r="E12" s="6">
        <f t="shared" si="0"/>
        <v>8</v>
      </c>
      <c r="F12" s="6" t="s">
        <v>675</v>
      </c>
      <c r="G12" s="6" t="s">
        <v>661</v>
      </c>
    </row>
    <row r="13" spans="1:7" ht="28.5" x14ac:dyDescent="0.45">
      <c r="A13" s="6">
        <v>9</v>
      </c>
      <c r="B13" s="6" t="s">
        <v>676</v>
      </c>
      <c r="C13" s="6">
        <v>3</v>
      </c>
      <c r="D13" s="6">
        <v>4</v>
      </c>
      <c r="E13" s="6">
        <f t="shared" si="0"/>
        <v>12</v>
      </c>
      <c r="F13" s="6" t="s">
        <v>677</v>
      </c>
      <c r="G13" s="6" t="s">
        <v>661</v>
      </c>
    </row>
    <row r="14" spans="1:7" ht="28.5" x14ac:dyDescent="0.45">
      <c r="A14" s="6">
        <v>10</v>
      </c>
      <c r="B14" s="6" t="s">
        <v>678</v>
      </c>
      <c r="C14" s="6">
        <v>2</v>
      </c>
      <c r="D14" s="6">
        <v>3</v>
      </c>
      <c r="E14" s="6">
        <f t="shared" si="0"/>
        <v>6</v>
      </c>
      <c r="F14" s="6" t="s">
        <v>679</v>
      </c>
      <c r="G14" s="6" t="s">
        <v>661</v>
      </c>
    </row>
    <row r="15" spans="1:7" ht="28.5" x14ac:dyDescent="0.45">
      <c r="A15" s="6">
        <v>11</v>
      </c>
      <c r="B15" s="6" t="s">
        <v>680</v>
      </c>
      <c r="C15" s="6">
        <v>2</v>
      </c>
      <c r="D15" s="6">
        <v>4</v>
      </c>
      <c r="E15" s="6">
        <f t="shared" si="0"/>
        <v>8</v>
      </c>
      <c r="F15" s="6" t="s">
        <v>681</v>
      </c>
      <c r="G15" s="6" t="s">
        <v>661</v>
      </c>
    </row>
    <row r="16" spans="1:7" ht="28.5" x14ac:dyDescent="0.45">
      <c r="A16" s="6">
        <v>12</v>
      </c>
      <c r="B16" s="6" t="s">
        <v>682</v>
      </c>
      <c r="C16" s="6">
        <v>3</v>
      </c>
      <c r="D16" s="6">
        <v>3</v>
      </c>
      <c r="E16" s="6">
        <f t="shared" si="0"/>
        <v>9</v>
      </c>
      <c r="F16" s="6" t="s">
        <v>683</v>
      </c>
      <c r="G16" s="6" t="s">
        <v>661</v>
      </c>
    </row>
    <row r="17" spans="1:7" x14ac:dyDescent="0.45">
      <c r="A17" s="6">
        <v>13</v>
      </c>
      <c r="B17" s="6" t="s">
        <v>684</v>
      </c>
      <c r="C17" s="6">
        <v>3</v>
      </c>
      <c r="D17" s="6">
        <v>2</v>
      </c>
      <c r="E17" s="6">
        <f t="shared" si="0"/>
        <v>6</v>
      </c>
      <c r="F17" s="6" t="s">
        <v>685</v>
      </c>
      <c r="G17" s="6" t="s">
        <v>661</v>
      </c>
    </row>
    <row r="18" spans="1:7" ht="28.5" x14ac:dyDescent="0.45">
      <c r="A18" s="6">
        <v>14</v>
      </c>
      <c r="B18" s="6" t="s">
        <v>686</v>
      </c>
      <c r="C18" s="6">
        <v>3</v>
      </c>
      <c r="D18" s="6">
        <v>3</v>
      </c>
      <c r="E18" s="6">
        <f t="shared" si="0"/>
        <v>9</v>
      </c>
      <c r="F18" s="6" t="s">
        <v>687</v>
      </c>
      <c r="G18" s="6" t="s">
        <v>661</v>
      </c>
    </row>
    <row r="19" spans="1:7" ht="28.5" x14ac:dyDescent="0.45">
      <c r="A19" s="6">
        <v>15</v>
      </c>
      <c r="B19" s="6" t="s">
        <v>688</v>
      </c>
      <c r="C19" s="6">
        <v>2</v>
      </c>
      <c r="D19" s="6">
        <v>5</v>
      </c>
      <c r="E19" s="6">
        <f t="shared" si="0"/>
        <v>10</v>
      </c>
      <c r="F19" s="6" t="s">
        <v>689</v>
      </c>
      <c r="G19" s="6" t="s">
        <v>661</v>
      </c>
    </row>
    <row r="20" spans="1:7" ht="28.5" x14ac:dyDescent="0.45">
      <c r="A20" s="6">
        <v>16</v>
      </c>
      <c r="B20" s="6" t="s">
        <v>690</v>
      </c>
      <c r="C20" s="6">
        <v>3</v>
      </c>
      <c r="D20" s="6">
        <v>5</v>
      </c>
      <c r="E20" s="6">
        <f t="shared" si="0"/>
        <v>15</v>
      </c>
      <c r="F20" s="6" t="s">
        <v>691</v>
      </c>
      <c r="G20" s="6" t="s">
        <v>661</v>
      </c>
    </row>
    <row r="21" spans="1:7" ht="28.5" x14ac:dyDescent="0.45">
      <c r="A21" s="6">
        <v>17</v>
      </c>
      <c r="B21" s="6" t="s">
        <v>692</v>
      </c>
      <c r="C21" s="6">
        <v>3</v>
      </c>
      <c r="D21" s="6">
        <v>5</v>
      </c>
      <c r="E21" s="6">
        <f t="shared" si="0"/>
        <v>15</v>
      </c>
      <c r="F21" s="6" t="s">
        <v>693</v>
      </c>
      <c r="G21" s="6" t="s">
        <v>661</v>
      </c>
    </row>
    <row r="22" spans="1:7" x14ac:dyDescent="0.45">
      <c r="A22" s="6">
        <v>18</v>
      </c>
      <c r="B22" s="6" t="s">
        <v>694</v>
      </c>
      <c r="C22" s="6">
        <v>4</v>
      </c>
      <c r="D22" s="6">
        <v>4</v>
      </c>
      <c r="E22" s="6">
        <f t="shared" si="0"/>
        <v>16</v>
      </c>
      <c r="F22" s="6" t="s">
        <v>695</v>
      </c>
      <c r="G22" s="6" t="s">
        <v>661</v>
      </c>
    </row>
  </sheetData>
  <mergeCells count="2">
    <mergeCell ref="A2:G2"/>
    <mergeCell ref="A1:G1"/>
  </mergeCells>
  <conditionalFormatting sqref="E5:E22">
    <cfRule type="cellIs" dxfId="6" priority="1" operator="greaterThanOrEqual">
      <formula>16</formula>
    </cfRule>
    <cfRule type="cellIs" dxfId="5" priority="2" operator="between">
      <formula>9</formula>
      <formula>15</formula>
    </cfRule>
    <cfRule type="cellIs" dxfId="4" priority="3" operator="lessThan">
      <formula>9</formula>
    </cfRule>
  </conditionalFormatting>
  <conditionalFormatting sqref="G5:G22">
    <cfRule type="cellIs" dxfId="3" priority="4" operator="equal">
      <formula>"Mitigated"</formula>
    </cfRule>
    <cfRule type="cellIs" dxfId="2" priority="5" operator="equal">
      <formula>"Triggered"</formula>
    </cfRule>
  </conditionalFormatting>
  <dataValidations count="1">
    <dataValidation type="list" allowBlank="1" sqref="G5:G22" xr:uid="{00000000-0002-0000-0B00-000000000000}">
      <formula1>"Open,Mitigated,Triggered,Closed"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5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6" customWidth="1"/>
    <col min="2" max="4" width="14" customWidth="1"/>
    <col min="5" max="7" width="10" customWidth="1"/>
  </cols>
  <sheetData>
    <row r="1" spans="1:7" ht="24" customHeight="1" x14ac:dyDescent="0.65">
      <c r="A1" s="14" t="s">
        <v>696</v>
      </c>
      <c r="B1" s="13"/>
      <c r="C1" s="13"/>
      <c r="D1" s="13"/>
      <c r="E1" s="13"/>
      <c r="F1" s="13"/>
      <c r="G1" s="13"/>
    </row>
    <row r="2" spans="1:7" ht="18" customHeight="1" x14ac:dyDescent="0.45">
      <c r="A2" s="12" t="s">
        <v>697</v>
      </c>
      <c r="B2" s="13"/>
      <c r="C2" s="13"/>
      <c r="D2" s="13"/>
      <c r="E2" s="13"/>
      <c r="F2" s="13"/>
      <c r="G2" s="13"/>
    </row>
    <row r="4" spans="1:7" ht="28.5" x14ac:dyDescent="0.45">
      <c r="A4" s="5" t="s">
        <v>192</v>
      </c>
      <c r="B4" s="5" t="s">
        <v>193</v>
      </c>
      <c r="C4" s="5" t="s">
        <v>698</v>
      </c>
      <c r="D4" s="5" t="s">
        <v>699</v>
      </c>
      <c r="E4" s="5" t="s">
        <v>700</v>
      </c>
      <c r="F4" s="5" t="s">
        <v>289</v>
      </c>
      <c r="G4" s="5" t="s">
        <v>701</v>
      </c>
    </row>
    <row r="5" spans="1:7" x14ac:dyDescent="0.45">
      <c r="A5" s="10">
        <v>1</v>
      </c>
      <c r="B5" s="11">
        <v>46146</v>
      </c>
      <c r="C5" s="10"/>
      <c r="D5" s="10"/>
      <c r="E5" s="10">
        <f t="shared" ref="E5:E35" si="0">C5+D5</f>
        <v>0</v>
      </c>
      <c r="F5" s="10">
        <v>4</v>
      </c>
      <c r="G5" s="10" t="str">
        <f t="shared" ref="G5:G35" si="1">IF(E5="","",IF(E5&gt;=F5,"Yes","No"))</f>
        <v>No</v>
      </c>
    </row>
    <row r="6" spans="1:7" x14ac:dyDescent="0.45">
      <c r="A6" s="10">
        <v>2</v>
      </c>
      <c r="B6" s="11">
        <v>46153</v>
      </c>
      <c r="C6" s="10"/>
      <c r="D6" s="10"/>
      <c r="E6" s="10">
        <f t="shared" si="0"/>
        <v>0</v>
      </c>
      <c r="F6" s="10">
        <v>4</v>
      </c>
      <c r="G6" s="10" t="str">
        <f t="shared" si="1"/>
        <v>No</v>
      </c>
    </row>
    <row r="7" spans="1:7" x14ac:dyDescent="0.45">
      <c r="A7" s="10">
        <v>3</v>
      </c>
      <c r="B7" s="11">
        <v>46160</v>
      </c>
      <c r="C7" s="10"/>
      <c r="D7" s="10"/>
      <c r="E7" s="10">
        <f t="shared" si="0"/>
        <v>0</v>
      </c>
      <c r="F7" s="10">
        <v>4</v>
      </c>
      <c r="G7" s="10" t="str">
        <f t="shared" si="1"/>
        <v>No</v>
      </c>
    </row>
    <row r="8" spans="1:7" x14ac:dyDescent="0.45">
      <c r="A8" s="10">
        <v>4</v>
      </c>
      <c r="B8" s="11">
        <v>46167</v>
      </c>
      <c r="C8" s="10"/>
      <c r="D8" s="10"/>
      <c r="E8" s="10">
        <f t="shared" si="0"/>
        <v>0</v>
      </c>
      <c r="F8" s="10">
        <v>4</v>
      </c>
      <c r="G8" s="10" t="str">
        <f t="shared" si="1"/>
        <v>No</v>
      </c>
    </row>
    <row r="9" spans="1:7" x14ac:dyDescent="0.45">
      <c r="A9" s="10">
        <v>5</v>
      </c>
      <c r="B9" s="11">
        <v>46174</v>
      </c>
      <c r="C9" s="10"/>
      <c r="D9" s="10"/>
      <c r="E9" s="10">
        <f t="shared" si="0"/>
        <v>0</v>
      </c>
      <c r="F9" s="10">
        <v>4</v>
      </c>
      <c r="G9" s="10" t="str">
        <f t="shared" si="1"/>
        <v>No</v>
      </c>
    </row>
    <row r="10" spans="1:7" x14ac:dyDescent="0.45">
      <c r="A10" s="10">
        <v>6</v>
      </c>
      <c r="B10" s="11">
        <v>46181</v>
      </c>
      <c r="C10" s="10"/>
      <c r="D10" s="10"/>
      <c r="E10" s="10">
        <f t="shared" si="0"/>
        <v>0</v>
      </c>
      <c r="F10" s="10">
        <v>4</v>
      </c>
      <c r="G10" s="10" t="str">
        <f t="shared" si="1"/>
        <v>No</v>
      </c>
    </row>
    <row r="11" spans="1:7" x14ac:dyDescent="0.45">
      <c r="A11" s="10">
        <v>7</v>
      </c>
      <c r="B11" s="11">
        <v>46188</v>
      </c>
      <c r="C11" s="10"/>
      <c r="D11" s="10"/>
      <c r="E11" s="10">
        <f t="shared" si="0"/>
        <v>0</v>
      </c>
      <c r="F11" s="10">
        <v>4</v>
      </c>
      <c r="G11" s="10" t="str">
        <f t="shared" si="1"/>
        <v>No</v>
      </c>
    </row>
    <row r="12" spans="1:7" x14ac:dyDescent="0.45">
      <c r="A12" s="10">
        <v>8</v>
      </c>
      <c r="B12" s="11">
        <v>46195</v>
      </c>
      <c r="C12" s="10"/>
      <c r="D12" s="10"/>
      <c r="E12" s="10">
        <f t="shared" si="0"/>
        <v>0</v>
      </c>
      <c r="F12" s="10">
        <v>4</v>
      </c>
      <c r="G12" s="10" t="str">
        <f t="shared" si="1"/>
        <v>No</v>
      </c>
    </row>
    <row r="13" spans="1:7" x14ac:dyDescent="0.45">
      <c r="A13" s="10">
        <v>9</v>
      </c>
      <c r="B13" s="11">
        <v>46202</v>
      </c>
      <c r="C13" s="10"/>
      <c r="D13" s="10"/>
      <c r="E13" s="10">
        <f t="shared" si="0"/>
        <v>0</v>
      </c>
      <c r="F13" s="10">
        <v>4</v>
      </c>
      <c r="G13" s="10" t="str">
        <f t="shared" si="1"/>
        <v>No</v>
      </c>
    </row>
    <row r="14" spans="1:7" x14ac:dyDescent="0.45">
      <c r="A14" s="10">
        <v>10</v>
      </c>
      <c r="B14" s="11">
        <v>46209</v>
      </c>
      <c r="C14" s="10"/>
      <c r="D14" s="10"/>
      <c r="E14" s="10">
        <f t="shared" si="0"/>
        <v>0</v>
      </c>
      <c r="F14" s="10">
        <v>4</v>
      </c>
      <c r="G14" s="10" t="str">
        <f t="shared" si="1"/>
        <v>No</v>
      </c>
    </row>
    <row r="15" spans="1:7" x14ac:dyDescent="0.45">
      <c r="A15" s="10">
        <v>11</v>
      </c>
      <c r="B15" s="11">
        <v>46216</v>
      </c>
      <c r="C15" s="10"/>
      <c r="D15" s="10"/>
      <c r="E15" s="10">
        <f t="shared" si="0"/>
        <v>0</v>
      </c>
      <c r="F15" s="10">
        <v>4</v>
      </c>
      <c r="G15" s="10" t="str">
        <f t="shared" si="1"/>
        <v>No</v>
      </c>
    </row>
    <row r="16" spans="1:7" x14ac:dyDescent="0.45">
      <c r="A16" s="10">
        <v>12</v>
      </c>
      <c r="B16" s="11">
        <v>46223</v>
      </c>
      <c r="C16" s="10"/>
      <c r="D16" s="10"/>
      <c r="E16" s="10">
        <f t="shared" si="0"/>
        <v>0</v>
      </c>
      <c r="F16" s="10">
        <v>4</v>
      </c>
      <c r="G16" s="10" t="str">
        <f t="shared" si="1"/>
        <v>No</v>
      </c>
    </row>
    <row r="17" spans="1:7" x14ac:dyDescent="0.45">
      <c r="A17" s="10">
        <v>13</v>
      </c>
      <c r="B17" s="11">
        <v>46230</v>
      </c>
      <c r="C17" s="10"/>
      <c r="D17" s="10"/>
      <c r="E17" s="10">
        <f t="shared" si="0"/>
        <v>0</v>
      </c>
      <c r="F17" s="10">
        <v>4</v>
      </c>
      <c r="G17" s="10" t="str">
        <f t="shared" si="1"/>
        <v>No</v>
      </c>
    </row>
    <row r="18" spans="1:7" x14ac:dyDescent="0.45">
      <c r="A18" s="10">
        <v>14</v>
      </c>
      <c r="B18" s="11">
        <v>46237</v>
      </c>
      <c r="C18" s="10"/>
      <c r="D18" s="10"/>
      <c r="E18" s="10">
        <f t="shared" si="0"/>
        <v>0</v>
      </c>
      <c r="F18" s="10">
        <v>4</v>
      </c>
      <c r="G18" s="10" t="str">
        <f t="shared" si="1"/>
        <v>No</v>
      </c>
    </row>
    <row r="19" spans="1:7" x14ac:dyDescent="0.45">
      <c r="A19" s="10">
        <v>15</v>
      </c>
      <c r="B19" s="11">
        <v>46244</v>
      </c>
      <c r="C19" s="10"/>
      <c r="D19" s="10"/>
      <c r="E19" s="10">
        <f t="shared" si="0"/>
        <v>0</v>
      </c>
      <c r="F19" s="10">
        <v>4</v>
      </c>
      <c r="G19" s="10" t="str">
        <f t="shared" si="1"/>
        <v>No</v>
      </c>
    </row>
    <row r="20" spans="1:7" x14ac:dyDescent="0.45">
      <c r="A20" s="10">
        <v>16</v>
      </c>
      <c r="B20" s="11">
        <v>46251</v>
      </c>
      <c r="C20" s="10"/>
      <c r="D20" s="10"/>
      <c r="E20" s="10">
        <f t="shared" si="0"/>
        <v>0</v>
      </c>
      <c r="F20" s="10">
        <v>4</v>
      </c>
      <c r="G20" s="10" t="str">
        <f t="shared" si="1"/>
        <v>No</v>
      </c>
    </row>
    <row r="21" spans="1:7" x14ac:dyDescent="0.45">
      <c r="A21" s="10">
        <v>17</v>
      </c>
      <c r="B21" s="11">
        <v>46258</v>
      </c>
      <c r="C21" s="10"/>
      <c r="D21" s="10"/>
      <c r="E21" s="10">
        <f t="shared" si="0"/>
        <v>0</v>
      </c>
      <c r="F21" s="10">
        <v>4</v>
      </c>
      <c r="G21" s="10" t="str">
        <f t="shared" si="1"/>
        <v>No</v>
      </c>
    </row>
    <row r="22" spans="1:7" x14ac:dyDescent="0.45">
      <c r="A22" s="10">
        <v>18</v>
      </c>
      <c r="B22" s="11">
        <v>46265</v>
      </c>
      <c r="C22" s="10"/>
      <c r="D22" s="10"/>
      <c r="E22" s="10">
        <f t="shared" si="0"/>
        <v>0</v>
      </c>
      <c r="F22" s="10">
        <v>4</v>
      </c>
      <c r="G22" s="10" t="str">
        <f t="shared" si="1"/>
        <v>No</v>
      </c>
    </row>
    <row r="23" spans="1:7" x14ac:dyDescent="0.45">
      <c r="A23" s="10">
        <v>19</v>
      </c>
      <c r="B23" s="11">
        <v>46272</v>
      </c>
      <c r="C23" s="10"/>
      <c r="D23" s="10"/>
      <c r="E23" s="10">
        <f t="shared" si="0"/>
        <v>0</v>
      </c>
      <c r="F23" s="10">
        <v>4</v>
      </c>
      <c r="G23" s="10" t="str">
        <f t="shared" si="1"/>
        <v>No</v>
      </c>
    </row>
    <row r="24" spans="1:7" x14ac:dyDescent="0.45">
      <c r="A24" s="10">
        <v>20</v>
      </c>
      <c r="B24" s="11">
        <v>46279</v>
      </c>
      <c r="C24" s="10"/>
      <c r="D24" s="10"/>
      <c r="E24" s="10">
        <f t="shared" si="0"/>
        <v>0</v>
      </c>
      <c r="F24" s="10">
        <v>4</v>
      </c>
      <c r="G24" s="10" t="str">
        <f t="shared" si="1"/>
        <v>No</v>
      </c>
    </row>
    <row r="25" spans="1:7" x14ac:dyDescent="0.45">
      <c r="A25" s="10">
        <v>21</v>
      </c>
      <c r="B25" s="11">
        <v>46286</v>
      </c>
      <c r="C25" s="10"/>
      <c r="D25" s="10"/>
      <c r="E25" s="10">
        <f t="shared" si="0"/>
        <v>0</v>
      </c>
      <c r="F25" s="10">
        <v>4</v>
      </c>
      <c r="G25" s="10" t="str">
        <f t="shared" si="1"/>
        <v>No</v>
      </c>
    </row>
    <row r="26" spans="1:7" x14ac:dyDescent="0.45">
      <c r="A26" s="10">
        <v>22</v>
      </c>
      <c r="B26" s="11">
        <v>46293</v>
      </c>
      <c r="C26" s="10"/>
      <c r="D26" s="10"/>
      <c r="E26" s="10">
        <f t="shared" si="0"/>
        <v>0</v>
      </c>
      <c r="F26" s="10">
        <v>4</v>
      </c>
      <c r="G26" s="10" t="str">
        <f t="shared" si="1"/>
        <v>No</v>
      </c>
    </row>
    <row r="27" spans="1:7" x14ac:dyDescent="0.45">
      <c r="A27" s="10">
        <v>23</v>
      </c>
      <c r="B27" s="11">
        <v>46300</v>
      </c>
      <c r="C27" s="10"/>
      <c r="D27" s="10"/>
      <c r="E27" s="10">
        <f t="shared" si="0"/>
        <v>0</v>
      </c>
      <c r="F27" s="10">
        <v>4</v>
      </c>
      <c r="G27" s="10" t="str">
        <f t="shared" si="1"/>
        <v>No</v>
      </c>
    </row>
    <row r="28" spans="1:7" x14ac:dyDescent="0.45">
      <c r="A28" s="10">
        <v>24</v>
      </c>
      <c r="B28" s="11">
        <v>46307</v>
      </c>
      <c r="C28" s="10"/>
      <c r="D28" s="10"/>
      <c r="E28" s="10">
        <f t="shared" si="0"/>
        <v>0</v>
      </c>
      <c r="F28" s="10">
        <v>4</v>
      </c>
      <c r="G28" s="10" t="str">
        <f t="shared" si="1"/>
        <v>No</v>
      </c>
    </row>
    <row r="29" spans="1:7" x14ac:dyDescent="0.45">
      <c r="A29" s="10">
        <v>25</v>
      </c>
      <c r="B29" s="11">
        <v>46314</v>
      </c>
      <c r="C29" s="10"/>
      <c r="D29" s="10"/>
      <c r="E29" s="10">
        <f t="shared" si="0"/>
        <v>0</v>
      </c>
      <c r="F29" s="10">
        <v>4</v>
      </c>
      <c r="G29" s="10" t="str">
        <f t="shared" si="1"/>
        <v>No</v>
      </c>
    </row>
    <row r="30" spans="1:7" x14ac:dyDescent="0.45">
      <c r="A30" s="10">
        <v>26</v>
      </c>
      <c r="B30" s="11">
        <v>46321</v>
      </c>
      <c r="C30" s="10"/>
      <c r="D30" s="10"/>
      <c r="E30" s="10">
        <f t="shared" si="0"/>
        <v>0</v>
      </c>
      <c r="F30" s="10">
        <v>4</v>
      </c>
      <c r="G30" s="10" t="str">
        <f t="shared" si="1"/>
        <v>No</v>
      </c>
    </row>
    <row r="31" spans="1:7" x14ac:dyDescent="0.45">
      <c r="A31" s="10">
        <v>27</v>
      </c>
      <c r="B31" s="11">
        <v>46328</v>
      </c>
      <c r="C31" s="10"/>
      <c r="D31" s="10"/>
      <c r="E31" s="10">
        <f t="shared" si="0"/>
        <v>0</v>
      </c>
      <c r="F31" s="10">
        <v>4</v>
      </c>
      <c r="G31" s="10" t="str">
        <f t="shared" si="1"/>
        <v>No</v>
      </c>
    </row>
    <row r="32" spans="1:7" x14ac:dyDescent="0.45">
      <c r="A32" s="10">
        <v>28</v>
      </c>
      <c r="B32" s="11">
        <v>46335</v>
      </c>
      <c r="C32" s="10"/>
      <c r="D32" s="10"/>
      <c r="E32" s="10">
        <f t="shared" si="0"/>
        <v>0</v>
      </c>
      <c r="F32" s="10">
        <v>4</v>
      </c>
      <c r="G32" s="10" t="str">
        <f t="shared" si="1"/>
        <v>No</v>
      </c>
    </row>
    <row r="33" spans="1:7" x14ac:dyDescent="0.45">
      <c r="A33" s="10">
        <v>29</v>
      </c>
      <c r="B33" s="11">
        <v>46342</v>
      </c>
      <c r="C33" s="10"/>
      <c r="D33" s="10"/>
      <c r="E33" s="10">
        <f t="shared" si="0"/>
        <v>0</v>
      </c>
      <c r="F33" s="10">
        <v>4</v>
      </c>
      <c r="G33" s="10" t="str">
        <f t="shared" si="1"/>
        <v>No</v>
      </c>
    </row>
    <row r="34" spans="1:7" x14ac:dyDescent="0.45">
      <c r="A34" s="10">
        <v>30</v>
      </c>
      <c r="B34" s="11">
        <v>46349</v>
      </c>
      <c r="C34" s="10"/>
      <c r="D34" s="10"/>
      <c r="E34" s="10">
        <f t="shared" si="0"/>
        <v>0</v>
      </c>
      <c r="F34" s="10">
        <v>4</v>
      </c>
      <c r="G34" s="10" t="str">
        <f t="shared" si="1"/>
        <v>No</v>
      </c>
    </row>
    <row r="35" spans="1:7" x14ac:dyDescent="0.45">
      <c r="A35" s="10">
        <v>31</v>
      </c>
      <c r="B35" s="11">
        <v>46356</v>
      </c>
      <c r="C35" s="10"/>
      <c r="D35" s="10"/>
      <c r="E35" s="10">
        <f t="shared" si="0"/>
        <v>0</v>
      </c>
      <c r="F35" s="10">
        <v>4</v>
      </c>
      <c r="G35" s="10" t="str">
        <f t="shared" si="1"/>
        <v>No</v>
      </c>
    </row>
  </sheetData>
  <mergeCells count="2">
    <mergeCell ref="A2:G2"/>
    <mergeCell ref="A1:G1"/>
  </mergeCells>
  <conditionalFormatting sqref="G5:G35">
    <cfRule type="cellIs" dxfId="1" priority="1" operator="equal">
      <formula>"Yes"</formula>
    </cfRule>
    <cfRule type="cellIs" dxfId="0" priority="2" operator="equal">
      <formula>"No"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16" customWidth="1"/>
    <col min="3" max="3" width="50" customWidth="1"/>
    <col min="4" max="5" width="30" customWidth="1"/>
  </cols>
  <sheetData>
    <row r="1" spans="1:5" ht="24" customHeight="1" x14ac:dyDescent="0.65">
      <c r="A1" s="14" t="s">
        <v>702</v>
      </c>
      <c r="B1" s="13"/>
      <c r="C1" s="13"/>
      <c r="D1" s="13"/>
      <c r="E1" s="13"/>
    </row>
    <row r="2" spans="1:5" ht="18" customHeight="1" x14ac:dyDescent="0.45">
      <c r="A2" s="12" t="s">
        <v>703</v>
      </c>
      <c r="B2" s="13"/>
      <c r="C2" s="13"/>
      <c r="D2" s="13"/>
      <c r="E2" s="13"/>
    </row>
    <row r="4" spans="1:5" x14ac:dyDescent="0.45">
      <c r="A4" s="5" t="s">
        <v>165</v>
      </c>
      <c r="B4" s="5" t="s">
        <v>704</v>
      </c>
      <c r="C4" s="5" t="s">
        <v>705</v>
      </c>
      <c r="D4" s="5" t="s">
        <v>706</v>
      </c>
      <c r="E4" s="5" t="s">
        <v>707</v>
      </c>
    </row>
    <row r="5" spans="1:5" x14ac:dyDescent="0.45">
      <c r="A5" s="6" t="s">
        <v>211</v>
      </c>
      <c r="B5" s="6" t="s">
        <v>708</v>
      </c>
      <c r="C5" s="6" t="s">
        <v>709</v>
      </c>
      <c r="D5" s="6" t="s">
        <v>297</v>
      </c>
      <c r="E5" s="6" t="s">
        <v>710</v>
      </c>
    </row>
    <row r="6" spans="1:5" x14ac:dyDescent="0.45">
      <c r="A6" s="6"/>
      <c r="B6" s="6"/>
      <c r="C6" s="6" t="s">
        <v>711</v>
      </c>
      <c r="D6" s="6"/>
      <c r="E6" s="6"/>
    </row>
    <row r="7" spans="1:5" x14ac:dyDescent="0.45">
      <c r="A7" s="6" t="s">
        <v>222</v>
      </c>
      <c r="B7" s="6" t="s">
        <v>712</v>
      </c>
      <c r="C7" s="6" t="s">
        <v>713</v>
      </c>
      <c r="D7" s="6"/>
      <c r="E7" s="6"/>
    </row>
    <row r="8" spans="1:5" x14ac:dyDescent="0.45">
      <c r="A8" s="6"/>
      <c r="B8" s="6"/>
      <c r="C8" s="6"/>
      <c r="D8" s="6"/>
      <c r="E8" s="6"/>
    </row>
    <row r="9" spans="1:5" x14ac:dyDescent="0.45">
      <c r="A9" s="6"/>
      <c r="B9" s="6"/>
      <c r="C9" s="6"/>
      <c r="D9" s="6"/>
      <c r="E9" s="6"/>
    </row>
    <row r="10" spans="1:5" x14ac:dyDescent="0.45">
      <c r="A10" s="6"/>
      <c r="B10" s="6"/>
      <c r="C10" s="6"/>
      <c r="D10" s="6"/>
      <c r="E10" s="6"/>
    </row>
    <row r="11" spans="1:5" x14ac:dyDescent="0.45">
      <c r="A11" s="6"/>
      <c r="B11" s="6"/>
      <c r="C11" s="6"/>
      <c r="D11" s="6"/>
      <c r="E11" s="6"/>
    </row>
    <row r="12" spans="1:5" x14ac:dyDescent="0.45">
      <c r="A12" s="6"/>
      <c r="B12" s="6"/>
      <c r="C12" s="6"/>
      <c r="D12" s="6"/>
      <c r="E12" s="6"/>
    </row>
    <row r="13" spans="1:5" x14ac:dyDescent="0.45">
      <c r="A13" s="6"/>
      <c r="B13" s="6"/>
      <c r="C13" s="6"/>
      <c r="D13" s="6"/>
      <c r="E13" s="6"/>
    </row>
    <row r="14" spans="1:5" x14ac:dyDescent="0.45">
      <c r="A14" s="6"/>
      <c r="B14" s="6"/>
      <c r="C14" s="6"/>
      <c r="D14" s="6"/>
      <c r="E14" s="6"/>
    </row>
    <row r="15" spans="1:5" x14ac:dyDescent="0.45">
      <c r="A15" s="6"/>
      <c r="B15" s="6"/>
      <c r="C15" s="6"/>
      <c r="D15" s="6"/>
      <c r="E15" s="6"/>
    </row>
    <row r="16" spans="1:5" x14ac:dyDescent="0.45">
      <c r="A16" s="6"/>
      <c r="B16" s="6"/>
      <c r="C16" s="6"/>
      <c r="D16" s="6"/>
      <c r="E16" s="6"/>
    </row>
    <row r="17" spans="1:5" x14ac:dyDescent="0.45">
      <c r="A17" s="6"/>
      <c r="B17" s="6"/>
      <c r="C17" s="6"/>
      <c r="D17" s="6"/>
      <c r="E17" s="6"/>
    </row>
    <row r="18" spans="1:5" x14ac:dyDescent="0.45">
      <c r="A18" s="6"/>
      <c r="B18" s="6"/>
      <c r="C18" s="6"/>
      <c r="D18" s="6"/>
      <c r="E18" s="6"/>
    </row>
    <row r="19" spans="1:5" x14ac:dyDescent="0.45">
      <c r="A19" s="6"/>
      <c r="B19" s="6"/>
      <c r="C19" s="6"/>
      <c r="D19" s="6"/>
      <c r="E19" s="6"/>
    </row>
    <row r="20" spans="1:5" x14ac:dyDescent="0.45">
      <c r="A20" s="6"/>
      <c r="B20" s="6"/>
      <c r="C20" s="6"/>
      <c r="D20" s="6"/>
      <c r="E20" s="6"/>
    </row>
    <row r="21" spans="1:5" x14ac:dyDescent="0.45">
      <c r="A21" s="6"/>
      <c r="B21" s="6"/>
      <c r="C21" s="6"/>
      <c r="D21" s="6"/>
      <c r="E21" s="6"/>
    </row>
    <row r="22" spans="1:5" x14ac:dyDescent="0.45">
      <c r="A22" s="6"/>
      <c r="B22" s="6"/>
      <c r="C22" s="6"/>
      <c r="D22" s="6"/>
      <c r="E22" s="6"/>
    </row>
    <row r="23" spans="1:5" x14ac:dyDescent="0.45">
      <c r="A23" s="6"/>
      <c r="B23" s="6"/>
      <c r="C23" s="6"/>
      <c r="D23" s="6"/>
      <c r="E23" s="6"/>
    </row>
    <row r="24" spans="1:5" x14ac:dyDescent="0.45">
      <c r="A24" s="6"/>
      <c r="B24" s="6"/>
      <c r="C24" s="6"/>
      <c r="D24" s="6"/>
      <c r="E24" s="6"/>
    </row>
    <row r="25" spans="1:5" x14ac:dyDescent="0.45">
      <c r="A25" s="6"/>
      <c r="B25" s="6"/>
      <c r="C25" s="6"/>
      <c r="D25" s="6"/>
      <c r="E25" s="6"/>
    </row>
    <row r="26" spans="1:5" x14ac:dyDescent="0.45">
      <c r="A26" s="6"/>
      <c r="B26" s="6"/>
      <c r="C26" s="6"/>
      <c r="D26" s="6"/>
      <c r="E26" s="6"/>
    </row>
    <row r="27" spans="1:5" x14ac:dyDescent="0.45">
      <c r="A27" s="6"/>
      <c r="B27" s="6"/>
      <c r="C27" s="6"/>
      <c r="D27" s="6"/>
      <c r="E27" s="6"/>
    </row>
    <row r="28" spans="1:5" x14ac:dyDescent="0.45">
      <c r="A28" s="6"/>
      <c r="B28" s="6"/>
      <c r="C28" s="6"/>
      <c r="D28" s="6"/>
      <c r="E28" s="6"/>
    </row>
    <row r="29" spans="1:5" x14ac:dyDescent="0.45">
      <c r="A29" s="6"/>
      <c r="B29" s="6"/>
      <c r="C29" s="6"/>
      <c r="D29" s="6"/>
      <c r="E29" s="6"/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28" customWidth="1"/>
    <col min="2" max="2" width="14" customWidth="1"/>
    <col min="3" max="3" width="24" customWidth="1"/>
    <col min="4" max="4" width="18" customWidth="1"/>
    <col min="5" max="5" width="14" customWidth="1"/>
    <col min="6" max="6" width="35" customWidth="1"/>
  </cols>
  <sheetData>
    <row r="1" spans="1:6" ht="24" customHeight="1" x14ac:dyDescent="0.65">
      <c r="A1" s="14" t="s">
        <v>714</v>
      </c>
      <c r="B1" s="13"/>
      <c r="C1" s="13"/>
      <c r="D1" s="13"/>
      <c r="E1" s="13"/>
      <c r="F1" s="13"/>
    </row>
    <row r="2" spans="1:6" ht="18" customHeight="1" x14ac:dyDescent="0.45">
      <c r="A2" s="12" t="s">
        <v>715</v>
      </c>
      <c r="B2" s="13"/>
      <c r="C2" s="13"/>
      <c r="D2" s="13"/>
      <c r="E2" s="13"/>
      <c r="F2" s="13"/>
    </row>
    <row r="4" spans="1:6" x14ac:dyDescent="0.45">
      <c r="A4" s="5" t="s">
        <v>716</v>
      </c>
      <c r="B4" s="5" t="s">
        <v>574</v>
      </c>
      <c r="C4" s="5" t="s">
        <v>717</v>
      </c>
      <c r="D4" s="5" t="s">
        <v>718</v>
      </c>
      <c r="E4" s="5" t="s">
        <v>38</v>
      </c>
      <c r="F4" s="5" t="s">
        <v>39</v>
      </c>
    </row>
    <row r="5" spans="1:6" x14ac:dyDescent="0.45">
      <c r="A5" s="6" t="s">
        <v>719</v>
      </c>
      <c r="B5" s="6" t="s">
        <v>87</v>
      </c>
      <c r="C5" s="6" t="s">
        <v>720</v>
      </c>
      <c r="D5" s="6" t="s">
        <v>721</v>
      </c>
      <c r="E5" s="6" t="s">
        <v>722</v>
      </c>
      <c r="F5" s="6" t="s">
        <v>723</v>
      </c>
    </row>
    <row r="6" spans="1:6" x14ac:dyDescent="0.45">
      <c r="A6" s="6" t="s">
        <v>91</v>
      </c>
      <c r="B6" s="6" t="s">
        <v>87</v>
      </c>
      <c r="C6" s="6" t="s">
        <v>724</v>
      </c>
      <c r="D6" s="6" t="s">
        <v>721</v>
      </c>
      <c r="E6" s="6" t="s">
        <v>297</v>
      </c>
      <c r="F6" s="6" t="s">
        <v>725</v>
      </c>
    </row>
    <row r="7" spans="1:6" x14ac:dyDescent="0.45">
      <c r="A7" s="6" t="s">
        <v>726</v>
      </c>
      <c r="B7" s="6" t="s">
        <v>87</v>
      </c>
      <c r="C7" s="6" t="s">
        <v>297</v>
      </c>
      <c r="D7" s="6" t="s">
        <v>727</v>
      </c>
      <c r="E7" s="6" t="s">
        <v>297</v>
      </c>
      <c r="F7" s="6" t="s">
        <v>728</v>
      </c>
    </row>
    <row r="8" spans="1:6" x14ac:dyDescent="0.45">
      <c r="A8" s="6" t="s">
        <v>97</v>
      </c>
      <c r="B8" s="6" t="s">
        <v>87</v>
      </c>
      <c r="C8" s="6" t="s">
        <v>297</v>
      </c>
      <c r="D8" s="6" t="s">
        <v>721</v>
      </c>
      <c r="E8" s="6" t="s">
        <v>297</v>
      </c>
      <c r="F8" s="6" t="s">
        <v>729</v>
      </c>
    </row>
    <row r="9" spans="1:6" x14ac:dyDescent="0.45">
      <c r="A9" s="6" t="s">
        <v>730</v>
      </c>
      <c r="B9" s="6" t="s">
        <v>87</v>
      </c>
      <c r="C9" s="6" t="s">
        <v>297</v>
      </c>
      <c r="D9" s="6" t="s">
        <v>731</v>
      </c>
      <c r="E9" s="6" t="s">
        <v>297</v>
      </c>
      <c r="F9" s="6" t="s">
        <v>732</v>
      </c>
    </row>
    <row r="10" spans="1:6" x14ac:dyDescent="0.45">
      <c r="A10" s="6" t="s">
        <v>100</v>
      </c>
      <c r="B10" s="6" t="s">
        <v>87</v>
      </c>
      <c r="C10" s="6" t="s">
        <v>297</v>
      </c>
      <c r="D10" s="6" t="s">
        <v>733</v>
      </c>
      <c r="E10" s="6" t="s">
        <v>297</v>
      </c>
      <c r="F10" s="6" t="s">
        <v>734</v>
      </c>
    </row>
    <row r="11" spans="1:6" x14ac:dyDescent="0.45">
      <c r="A11" s="6" t="s">
        <v>735</v>
      </c>
      <c r="B11" s="6" t="s">
        <v>87</v>
      </c>
      <c r="C11" s="6" t="s">
        <v>297</v>
      </c>
      <c r="D11" s="6" t="s">
        <v>736</v>
      </c>
      <c r="E11" s="6" t="s">
        <v>737</v>
      </c>
      <c r="F11" s="6" t="s">
        <v>738</v>
      </c>
    </row>
    <row r="12" spans="1:6" x14ac:dyDescent="0.45">
      <c r="A12" s="6" t="s">
        <v>739</v>
      </c>
      <c r="B12" s="6" t="s">
        <v>87</v>
      </c>
      <c r="C12" s="6" t="s">
        <v>297</v>
      </c>
      <c r="D12" s="6" t="s">
        <v>740</v>
      </c>
      <c r="E12" s="6" t="s">
        <v>297</v>
      </c>
      <c r="F12" s="6" t="s">
        <v>741</v>
      </c>
    </row>
    <row r="13" spans="1:6" x14ac:dyDescent="0.45">
      <c r="A13" s="6" t="s">
        <v>742</v>
      </c>
      <c r="B13" s="6" t="s">
        <v>87</v>
      </c>
      <c r="C13" s="6" t="s">
        <v>297</v>
      </c>
      <c r="D13" s="6" t="s">
        <v>721</v>
      </c>
      <c r="E13" s="6" t="s">
        <v>297</v>
      </c>
      <c r="F13" s="6" t="s">
        <v>110</v>
      </c>
    </row>
    <row r="14" spans="1:6" x14ac:dyDescent="0.45">
      <c r="A14" s="6" t="s">
        <v>743</v>
      </c>
      <c r="B14" s="6" t="s">
        <v>87</v>
      </c>
      <c r="C14" s="6" t="s">
        <v>297</v>
      </c>
      <c r="D14" s="6" t="s">
        <v>721</v>
      </c>
      <c r="E14" s="6" t="s">
        <v>722</v>
      </c>
      <c r="F14" s="6" t="s">
        <v>744</v>
      </c>
    </row>
    <row r="15" spans="1:6" x14ac:dyDescent="0.45">
      <c r="A15" s="6" t="s">
        <v>745</v>
      </c>
      <c r="B15" s="6" t="s">
        <v>87</v>
      </c>
      <c r="C15" s="6" t="s">
        <v>297</v>
      </c>
      <c r="D15" s="6" t="s">
        <v>721</v>
      </c>
      <c r="E15" s="6" t="s">
        <v>297</v>
      </c>
      <c r="F15" s="6" t="s">
        <v>746</v>
      </c>
    </row>
    <row r="16" spans="1:6" x14ac:dyDescent="0.45">
      <c r="A16" s="6" t="s">
        <v>747</v>
      </c>
      <c r="B16" s="6" t="s">
        <v>87</v>
      </c>
      <c r="C16" s="6" t="s">
        <v>297</v>
      </c>
      <c r="D16" s="6" t="s">
        <v>721</v>
      </c>
      <c r="E16" s="6" t="s">
        <v>297</v>
      </c>
      <c r="F16" s="6" t="s">
        <v>748</v>
      </c>
    </row>
    <row r="17" spans="1:6" x14ac:dyDescent="0.45">
      <c r="A17" s="6" t="s">
        <v>63</v>
      </c>
      <c r="B17" s="6" t="s">
        <v>749</v>
      </c>
      <c r="C17" s="6" t="s">
        <v>297</v>
      </c>
      <c r="D17" s="6" t="s">
        <v>721</v>
      </c>
      <c r="E17" s="6" t="s">
        <v>297</v>
      </c>
      <c r="F17" s="6" t="s">
        <v>750</v>
      </c>
    </row>
    <row r="18" spans="1:6" x14ac:dyDescent="0.45">
      <c r="A18" s="6" t="s">
        <v>55</v>
      </c>
      <c r="B18" s="6" t="s">
        <v>749</v>
      </c>
      <c r="C18" s="6" t="s">
        <v>297</v>
      </c>
      <c r="D18" s="6" t="s">
        <v>751</v>
      </c>
      <c r="E18" s="6" t="s">
        <v>297</v>
      </c>
      <c r="F18" s="6"/>
    </row>
    <row r="19" spans="1:6" x14ac:dyDescent="0.45">
      <c r="A19" s="6" t="s">
        <v>752</v>
      </c>
      <c r="B19" s="6" t="s">
        <v>749</v>
      </c>
      <c r="C19" s="6" t="s">
        <v>297</v>
      </c>
      <c r="D19" s="6" t="s">
        <v>721</v>
      </c>
      <c r="E19" s="6" t="s">
        <v>297</v>
      </c>
      <c r="F19" s="6" t="s">
        <v>753</v>
      </c>
    </row>
    <row r="20" spans="1:6" x14ac:dyDescent="0.45">
      <c r="A20" s="6" t="s">
        <v>51</v>
      </c>
      <c r="B20" s="6" t="s">
        <v>749</v>
      </c>
      <c r="C20" s="6" t="s">
        <v>297</v>
      </c>
      <c r="D20" s="6" t="s">
        <v>721</v>
      </c>
      <c r="E20" s="6" t="s">
        <v>297</v>
      </c>
      <c r="F20" s="6"/>
    </row>
    <row r="21" spans="1:6" x14ac:dyDescent="0.45">
      <c r="A21" s="6" t="s">
        <v>754</v>
      </c>
      <c r="B21" s="6" t="s">
        <v>749</v>
      </c>
      <c r="C21" s="6" t="s">
        <v>297</v>
      </c>
      <c r="D21" s="6" t="s">
        <v>740</v>
      </c>
      <c r="E21" s="6" t="s">
        <v>297</v>
      </c>
      <c r="F21" s="6" t="s">
        <v>755</v>
      </c>
    </row>
    <row r="22" spans="1:6" x14ac:dyDescent="0.45">
      <c r="A22" s="6" t="s">
        <v>74</v>
      </c>
      <c r="B22" s="6" t="s">
        <v>749</v>
      </c>
      <c r="C22" s="6" t="s">
        <v>297</v>
      </c>
      <c r="D22" s="6" t="s">
        <v>721</v>
      </c>
      <c r="E22" s="6" t="s">
        <v>297</v>
      </c>
      <c r="F22" s="6" t="s">
        <v>276</v>
      </c>
    </row>
    <row r="23" spans="1:6" x14ac:dyDescent="0.45">
      <c r="A23" s="6" t="s">
        <v>756</v>
      </c>
      <c r="B23" s="6" t="s">
        <v>749</v>
      </c>
      <c r="C23" s="6" t="s">
        <v>297</v>
      </c>
      <c r="D23" s="6" t="s">
        <v>721</v>
      </c>
      <c r="E23" s="6" t="s">
        <v>297</v>
      </c>
      <c r="F23" s="6" t="s">
        <v>276</v>
      </c>
    </row>
    <row r="24" spans="1:6" x14ac:dyDescent="0.45">
      <c r="A24" s="6" t="s">
        <v>757</v>
      </c>
      <c r="B24" s="6" t="s">
        <v>123</v>
      </c>
      <c r="C24" s="6" t="s">
        <v>297</v>
      </c>
      <c r="D24" s="6" t="s">
        <v>758</v>
      </c>
      <c r="E24" s="6" t="s">
        <v>297</v>
      </c>
      <c r="F24" s="6" t="s">
        <v>759</v>
      </c>
    </row>
    <row r="25" spans="1:6" x14ac:dyDescent="0.45">
      <c r="A25" s="6" t="s">
        <v>760</v>
      </c>
      <c r="B25" s="6" t="s">
        <v>123</v>
      </c>
      <c r="C25" s="6" t="s">
        <v>297</v>
      </c>
      <c r="D25" s="6" t="s">
        <v>758</v>
      </c>
      <c r="E25" s="6" t="s">
        <v>297</v>
      </c>
      <c r="F25" s="6"/>
    </row>
    <row r="26" spans="1:6" x14ac:dyDescent="0.45">
      <c r="A26" s="6" t="s">
        <v>761</v>
      </c>
      <c r="B26" s="6" t="s">
        <v>762</v>
      </c>
      <c r="C26" s="6" t="s">
        <v>297</v>
      </c>
      <c r="D26" s="6" t="s">
        <v>721</v>
      </c>
      <c r="E26" s="6" t="s">
        <v>297</v>
      </c>
      <c r="F26" s="6" t="s">
        <v>763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Pre-Day-1 Setup</vt:lpstr>
      <vt:lpstr>Daily Log</vt:lpstr>
      <vt:lpstr>Weekly Review</vt:lpstr>
      <vt:lpstr>Phase Milestones</vt:lpstr>
      <vt:lpstr>Success Metrics</vt:lpstr>
      <vt:lpstr>Tier A B C Grafts</vt:lpstr>
      <vt:lpstr>Applications</vt:lpstr>
      <vt:lpstr>LinkedIn Outreach</vt:lpstr>
      <vt:lpstr>Mock Interviews</vt:lpstr>
      <vt:lpstr>Learning Resources</vt:lpstr>
      <vt:lpstr>Risks</vt:lpstr>
      <vt:lpstr>GitHub Cadence</vt:lpstr>
      <vt:lpstr>Brunel Racing</vt:lpstr>
      <vt:lpstr>Tools and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Nadeem</cp:lastModifiedBy>
  <dcterms:created xsi:type="dcterms:W3CDTF">2026-04-29T22:10:04Z</dcterms:created>
  <dcterms:modified xsi:type="dcterms:W3CDTF">2026-04-30T01:49:48Z</dcterms:modified>
</cp:coreProperties>
</file>