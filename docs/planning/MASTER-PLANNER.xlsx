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nass\Downloads\"/>
    </mc:Choice>
  </mc:AlternateContent>
  <xr:revisionPtr revIDLastSave="0" documentId="13_ncr:1_{10C8EBA7-E5D3-4212-9E7D-4B2409B59340}" xr6:coauthVersionLast="47" xr6:coauthVersionMax="47" xr10:uidLastSave="{00000000-0000-0000-0000-000000000000}"/>
  <bookViews>
    <workbookView xWindow="-98" yWindow="-98" windowWidth="19396" windowHeight="11475" tabRatio="500" firstSheet="1" activeTab="2" xr2:uid="{00000000-000D-0000-FFFF-FFFF00000000}"/>
  </bookViews>
  <sheets>
    <sheet name="Dashboard" sheetId="1" r:id="rId1"/>
    <sheet name="Weekly Overview" sheetId="2" r:id="rId2"/>
    <sheet name="Daily Log" sheetId="3" r:id="rId3"/>
    <sheet name="ARIS Tasks" sheetId="4" r:id="rId4"/>
    <sheet name="DSA Tracker" sheetId="5" r:id="rId5"/>
    <sheet name="Resources" sheetId="6" r:id="rId6"/>
    <sheet name="Applications" sheetId="7" r:id="rId7"/>
    <sheet name="Networking" sheetId="8" r:id="rId8"/>
    <sheet name="Settings" sheetId="9" r:id="rId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11" i="3" l="1"/>
  <c r="J12" i="3"/>
  <c r="J13" i="3"/>
  <c r="J2" i="3"/>
  <c r="J3" i="3"/>
  <c r="J4" i="3"/>
  <c r="J5" i="3"/>
  <c r="J6" i="3"/>
  <c r="J7" i="3"/>
  <c r="J8" i="3"/>
  <c r="J9" i="3"/>
  <c r="J10" i="3"/>
  <c r="B9" i="9"/>
  <c r="K101" i="8"/>
  <c r="K100" i="8"/>
  <c r="K99" i="8"/>
  <c r="K98" i="8"/>
  <c r="K97" i="8"/>
  <c r="K96" i="8"/>
  <c r="K95" i="8"/>
  <c r="K94" i="8"/>
  <c r="K93" i="8"/>
  <c r="K92" i="8"/>
  <c r="K91" i="8"/>
  <c r="K90" i="8"/>
  <c r="K89" i="8"/>
  <c r="K88" i="8"/>
  <c r="K87" i="8"/>
  <c r="K86" i="8"/>
  <c r="K85" i="8"/>
  <c r="K84" i="8"/>
  <c r="K83" i="8"/>
  <c r="K82" i="8"/>
  <c r="K81" i="8"/>
  <c r="K80" i="8"/>
  <c r="K79" i="8"/>
  <c r="K78" i="8"/>
  <c r="K77" i="8"/>
  <c r="K76" i="8"/>
  <c r="K75" i="8"/>
  <c r="K74" i="8"/>
  <c r="K73" i="8"/>
  <c r="K72" i="8"/>
  <c r="K71" i="8"/>
  <c r="K70" i="8"/>
  <c r="K69" i="8"/>
  <c r="K68" i="8"/>
  <c r="K67" i="8"/>
  <c r="K66" i="8"/>
  <c r="K65" i="8"/>
  <c r="K64" i="8"/>
  <c r="K63" i="8"/>
  <c r="K62" i="8"/>
  <c r="K61" i="8"/>
  <c r="K60" i="8"/>
  <c r="K59" i="8"/>
  <c r="K58" i="8"/>
  <c r="K57" i="8"/>
  <c r="K56" i="8"/>
  <c r="K55" i="8"/>
  <c r="K54" i="8"/>
  <c r="K53" i="8"/>
  <c r="K52" i="8"/>
  <c r="K51" i="8"/>
  <c r="K50" i="8"/>
  <c r="K49" i="8"/>
  <c r="K48" i="8"/>
  <c r="K47" i="8"/>
  <c r="K46" i="8"/>
  <c r="K45" i="8"/>
  <c r="K44" i="8"/>
  <c r="K43" i="8"/>
  <c r="K42" i="8"/>
  <c r="K41" i="8"/>
  <c r="K40" i="8"/>
  <c r="K39" i="8"/>
  <c r="K38" i="8"/>
  <c r="K37" i="8"/>
  <c r="K36" i="8"/>
  <c r="K35" i="8"/>
  <c r="K34" i="8"/>
  <c r="K33" i="8"/>
  <c r="K32" i="8"/>
  <c r="K31" i="8"/>
  <c r="K30" i="8"/>
  <c r="K29" i="8"/>
  <c r="K28" i="8"/>
  <c r="K27" i="8"/>
  <c r="K26" i="8"/>
  <c r="K25" i="8"/>
  <c r="K24" i="8"/>
  <c r="K23" i="8"/>
  <c r="K22" i="8"/>
  <c r="K21" i="8"/>
  <c r="K20" i="8"/>
  <c r="K19" i="8"/>
  <c r="K18" i="8"/>
  <c r="K17" i="8"/>
  <c r="K16" i="8"/>
  <c r="K15" i="8"/>
  <c r="K14" i="8"/>
  <c r="K13" i="8"/>
  <c r="K12" i="8"/>
  <c r="K11" i="8"/>
  <c r="K10" i="8"/>
  <c r="K9" i="8"/>
  <c r="K8" i="8"/>
  <c r="K7" i="8"/>
  <c r="K6" i="8"/>
  <c r="K5" i="8"/>
  <c r="K4" i="8"/>
  <c r="K3" i="8"/>
  <c r="K2" i="8"/>
  <c r="J51" i="7"/>
  <c r="I51" i="7"/>
  <c r="J50" i="7"/>
  <c r="I50" i="7"/>
  <c r="J49" i="7"/>
  <c r="I49" i="7"/>
  <c r="J48" i="7"/>
  <c r="I48" i="7"/>
  <c r="J47" i="7"/>
  <c r="I47" i="7"/>
  <c r="J46" i="7"/>
  <c r="I46" i="7"/>
  <c r="J45" i="7"/>
  <c r="I45" i="7"/>
  <c r="J44" i="7"/>
  <c r="I44" i="7"/>
  <c r="J43" i="7"/>
  <c r="I43" i="7"/>
  <c r="J42" i="7"/>
  <c r="I42" i="7"/>
  <c r="J41" i="7"/>
  <c r="I41" i="7"/>
  <c r="J40" i="7"/>
  <c r="I40" i="7"/>
  <c r="J39" i="7"/>
  <c r="I39" i="7"/>
  <c r="J38" i="7"/>
  <c r="I38" i="7"/>
  <c r="J37" i="7"/>
  <c r="I37" i="7"/>
  <c r="J36" i="7"/>
  <c r="I36" i="7"/>
  <c r="J35" i="7"/>
  <c r="I35" i="7"/>
  <c r="J34" i="7"/>
  <c r="I34" i="7"/>
  <c r="J33" i="7"/>
  <c r="I33" i="7"/>
  <c r="J32" i="7"/>
  <c r="I32" i="7"/>
  <c r="J31" i="7"/>
  <c r="I31" i="7"/>
  <c r="J30" i="7"/>
  <c r="I30" i="7"/>
  <c r="J29" i="7"/>
  <c r="I29" i="7"/>
  <c r="J28" i="7"/>
  <c r="I28" i="7"/>
  <c r="J27" i="7"/>
  <c r="I27" i="7"/>
  <c r="J26" i="7"/>
  <c r="I26" i="7"/>
  <c r="J25" i="7"/>
  <c r="I25" i="7"/>
  <c r="J24" i="7"/>
  <c r="I24" i="7"/>
  <c r="J23" i="7"/>
  <c r="I23" i="7"/>
  <c r="J22" i="7"/>
  <c r="I22" i="7"/>
  <c r="J21" i="7"/>
  <c r="I21" i="7"/>
  <c r="J20" i="7"/>
  <c r="I20" i="7"/>
  <c r="J19" i="7"/>
  <c r="I19" i="7"/>
  <c r="J18" i="7"/>
  <c r="I18" i="7"/>
  <c r="J17" i="7"/>
  <c r="I17" i="7"/>
  <c r="J16" i="7"/>
  <c r="I16" i="7"/>
  <c r="J15" i="7"/>
  <c r="I15" i="7"/>
  <c r="J14" i="7"/>
  <c r="I14" i="7"/>
  <c r="J13" i="7"/>
  <c r="I13" i="7"/>
  <c r="J12" i="7"/>
  <c r="I12" i="7"/>
  <c r="J11" i="7"/>
  <c r="I11" i="7"/>
  <c r="J10" i="7"/>
  <c r="I10" i="7"/>
  <c r="J9" i="7"/>
  <c r="I9" i="7"/>
  <c r="J8" i="7"/>
  <c r="I8" i="7"/>
  <c r="J7" i="7"/>
  <c r="I7" i="7"/>
  <c r="J6" i="7"/>
  <c r="I6" i="7"/>
  <c r="J5" i="7"/>
  <c r="I5" i="7"/>
  <c r="J4" i="7"/>
  <c r="I4" i="7"/>
  <c r="J3" i="7"/>
  <c r="I3" i="7"/>
  <c r="J2" i="7"/>
  <c r="I2" i="7"/>
  <c r="L201" i="3"/>
  <c r="K201" i="3"/>
  <c r="J201" i="3"/>
  <c r="B201" i="3"/>
  <c r="L200" i="3"/>
  <c r="K200" i="3"/>
  <c r="J200" i="3"/>
  <c r="B200" i="3"/>
  <c r="L199" i="3"/>
  <c r="K199" i="3"/>
  <c r="J199" i="3"/>
  <c r="B199" i="3"/>
  <c r="L198" i="3"/>
  <c r="K198" i="3"/>
  <c r="J198" i="3"/>
  <c r="B198" i="3"/>
  <c r="L197" i="3"/>
  <c r="K197" i="3"/>
  <c r="J197" i="3"/>
  <c r="B197" i="3"/>
  <c r="L196" i="3"/>
  <c r="K196" i="3"/>
  <c r="J196" i="3"/>
  <c r="B196" i="3"/>
  <c r="L195" i="3"/>
  <c r="K195" i="3"/>
  <c r="J195" i="3"/>
  <c r="B195" i="3"/>
  <c r="L194" i="3"/>
  <c r="K194" i="3"/>
  <c r="J194" i="3"/>
  <c r="B194" i="3"/>
  <c r="L193" i="3"/>
  <c r="K193" i="3"/>
  <c r="J193" i="3"/>
  <c r="B193" i="3"/>
  <c r="L192" i="3"/>
  <c r="K192" i="3"/>
  <c r="J192" i="3"/>
  <c r="B192" i="3"/>
  <c r="L191" i="3"/>
  <c r="K191" i="3"/>
  <c r="J191" i="3"/>
  <c r="B191" i="3"/>
  <c r="L190" i="3"/>
  <c r="K190" i="3"/>
  <c r="J190" i="3"/>
  <c r="B190" i="3"/>
  <c r="L189" i="3"/>
  <c r="K189" i="3"/>
  <c r="J189" i="3"/>
  <c r="B189" i="3"/>
  <c r="L188" i="3"/>
  <c r="K188" i="3"/>
  <c r="J188" i="3"/>
  <c r="B188" i="3"/>
  <c r="L187" i="3"/>
  <c r="K187" i="3"/>
  <c r="J187" i="3"/>
  <c r="B187" i="3"/>
  <c r="L186" i="3"/>
  <c r="K186" i="3"/>
  <c r="J186" i="3"/>
  <c r="B186" i="3"/>
  <c r="L185" i="3"/>
  <c r="K185" i="3"/>
  <c r="J185" i="3"/>
  <c r="B185" i="3"/>
  <c r="L184" i="3"/>
  <c r="K184" i="3"/>
  <c r="J184" i="3"/>
  <c r="B184" i="3"/>
  <c r="L183" i="3"/>
  <c r="K183" i="3"/>
  <c r="J183" i="3"/>
  <c r="B183" i="3"/>
  <c r="L182" i="3"/>
  <c r="K182" i="3"/>
  <c r="J182" i="3"/>
  <c r="B182" i="3"/>
  <c r="L181" i="3"/>
  <c r="K181" i="3"/>
  <c r="J181" i="3"/>
  <c r="B181" i="3"/>
  <c r="L180" i="3"/>
  <c r="K180" i="3"/>
  <c r="J180" i="3"/>
  <c r="B180" i="3"/>
  <c r="L179" i="3"/>
  <c r="K179" i="3"/>
  <c r="J179" i="3"/>
  <c r="B179" i="3"/>
  <c r="L178" i="3"/>
  <c r="K178" i="3"/>
  <c r="J178" i="3"/>
  <c r="B178" i="3"/>
  <c r="L177" i="3"/>
  <c r="K177" i="3"/>
  <c r="J177" i="3"/>
  <c r="B177" i="3"/>
  <c r="L176" i="3"/>
  <c r="K176" i="3"/>
  <c r="J176" i="3"/>
  <c r="B176" i="3"/>
  <c r="L175" i="3"/>
  <c r="K175" i="3"/>
  <c r="J175" i="3"/>
  <c r="B175" i="3"/>
  <c r="L174" i="3"/>
  <c r="K174" i="3"/>
  <c r="J174" i="3"/>
  <c r="B174" i="3"/>
  <c r="L173" i="3"/>
  <c r="K173" i="3"/>
  <c r="J173" i="3"/>
  <c r="B173" i="3"/>
  <c r="L172" i="3"/>
  <c r="K172" i="3"/>
  <c r="J172" i="3"/>
  <c r="B172" i="3"/>
  <c r="L171" i="3"/>
  <c r="K171" i="3"/>
  <c r="J171" i="3"/>
  <c r="B171" i="3"/>
  <c r="L170" i="3"/>
  <c r="K170" i="3"/>
  <c r="J170" i="3"/>
  <c r="B170" i="3"/>
  <c r="L169" i="3"/>
  <c r="K169" i="3"/>
  <c r="J169" i="3"/>
  <c r="B169" i="3"/>
  <c r="L168" i="3"/>
  <c r="K168" i="3"/>
  <c r="J168" i="3"/>
  <c r="B168" i="3"/>
  <c r="L167" i="3"/>
  <c r="K167" i="3"/>
  <c r="J167" i="3"/>
  <c r="B167" i="3"/>
  <c r="L166" i="3"/>
  <c r="K166" i="3"/>
  <c r="J166" i="3"/>
  <c r="B166" i="3"/>
  <c r="L165" i="3"/>
  <c r="K165" i="3"/>
  <c r="J165" i="3"/>
  <c r="B165" i="3"/>
  <c r="L164" i="3"/>
  <c r="K164" i="3"/>
  <c r="J164" i="3"/>
  <c r="B164" i="3"/>
  <c r="L163" i="3"/>
  <c r="K163" i="3"/>
  <c r="J163" i="3"/>
  <c r="B163" i="3"/>
  <c r="L162" i="3"/>
  <c r="K162" i="3"/>
  <c r="J162" i="3"/>
  <c r="B162" i="3"/>
  <c r="L161" i="3"/>
  <c r="K161" i="3"/>
  <c r="J161" i="3"/>
  <c r="B161" i="3"/>
  <c r="L160" i="3"/>
  <c r="K160" i="3"/>
  <c r="J160" i="3"/>
  <c r="B160" i="3"/>
  <c r="L159" i="3"/>
  <c r="K159" i="3"/>
  <c r="J159" i="3"/>
  <c r="B159" i="3"/>
  <c r="L158" i="3"/>
  <c r="K158" i="3"/>
  <c r="J158" i="3"/>
  <c r="B158" i="3"/>
  <c r="L157" i="3"/>
  <c r="K157" i="3"/>
  <c r="J157" i="3"/>
  <c r="B157" i="3"/>
  <c r="L156" i="3"/>
  <c r="K156" i="3"/>
  <c r="J156" i="3"/>
  <c r="B156" i="3"/>
  <c r="L155" i="3"/>
  <c r="K155" i="3"/>
  <c r="J155" i="3"/>
  <c r="B155" i="3"/>
  <c r="L154" i="3"/>
  <c r="K154" i="3"/>
  <c r="J154" i="3"/>
  <c r="B154" i="3"/>
  <c r="L153" i="3"/>
  <c r="K153" i="3"/>
  <c r="J153" i="3"/>
  <c r="B153" i="3"/>
  <c r="L152" i="3"/>
  <c r="K152" i="3"/>
  <c r="J152" i="3"/>
  <c r="B152" i="3"/>
  <c r="L151" i="3"/>
  <c r="K151" i="3"/>
  <c r="J151" i="3"/>
  <c r="B151" i="3"/>
  <c r="L150" i="3"/>
  <c r="K150" i="3"/>
  <c r="J150" i="3"/>
  <c r="B150" i="3"/>
  <c r="L149" i="3"/>
  <c r="K149" i="3"/>
  <c r="J149" i="3"/>
  <c r="B149" i="3"/>
  <c r="L148" i="3"/>
  <c r="K148" i="3"/>
  <c r="J148" i="3"/>
  <c r="B148" i="3"/>
  <c r="L147" i="3"/>
  <c r="K147" i="3"/>
  <c r="J147" i="3"/>
  <c r="B147" i="3"/>
  <c r="L146" i="3"/>
  <c r="K146" i="3"/>
  <c r="J146" i="3"/>
  <c r="B146" i="3"/>
  <c r="L145" i="3"/>
  <c r="K145" i="3"/>
  <c r="J145" i="3"/>
  <c r="B145" i="3"/>
  <c r="L144" i="3"/>
  <c r="K144" i="3"/>
  <c r="J144" i="3"/>
  <c r="B144" i="3"/>
  <c r="L143" i="3"/>
  <c r="K143" i="3"/>
  <c r="J143" i="3"/>
  <c r="B143" i="3"/>
  <c r="L142" i="3"/>
  <c r="K142" i="3"/>
  <c r="J142" i="3"/>
  <c r="B142" i="3"/>
  <c r="L141" i="3"/>
  <c r="K141" i="3"/>
  <c r="J141" i="3"/>
  <c r="B141" i="3"/>
  <c r="L140" i="3"/>
  <c r="K140" i="3"/>
  <c r="J140" i="3"/>
  <c r="B140" i="3"/>
  <c r="L139" i="3"/>
  <c r="K139" i="3"/>
  <c r="J139" i="3"/>
  <c r="B139" i="3"/>
  <c r="L138" i="3"/>
  <c r="K138" i="3"/>
  <c r="J138" i="3"/>
  <c r="B138" i="3"/>
  <c r="L137" i="3"/>
  <c r="K137" i="3"/>
  <c r="J137" i="3"/>
  <c r="B137" i="3"/>
  <c r="L136" i="3"/>
  <c r="K136" i="3"/>
  <c r="J136" i="3"/>
  <c r="B136" i="3"/>
  <c r="L135" i="3"/>
  <c r="K135" i="3"/>
  <c r="J135" i="3"/>
  <c r="B135" i="3"/>
  <c r="L134" i="3"/>
  <c r="K134" i="3"/>
  <c r="J134" i="3"/>
  <c r="B134" i="3"/>
  <c r="L133" i="3"/>
  <c r="K133" i="3"/>
  <c r="J133" i="3"/>
  <c r="B133" i="3"/>
  <c r="L132" i="3"/>
  <c r="K132" i="3"/>
  <c r="J132" i="3"/>
  <c r="B132" i="3"/>
  <c r="L131" i="3"/>
  <c r="K131" i="3"/>
  <c r="J131" i="3"/>
  <c r="B131" i="3"/>
  <c r="L130" i="3"/>
  <c r="K130" i="3"/>
  <c r="J130" i="3"/>
  <c r="B130" i="3"/>
  <c r="L129" i="3"/>
  <c r="K129" i="3"/>
  <c r="J129" i="3"/>
  <c r="B129" i="3"/>
  <c r="L128" i="3"/>
  <c r="K128" i="3"/>
  <c r="J128" i="3"/>
  <c r="B128" i="3"/>
  <c r="L127" i="3"/>
  <c r="K127" i="3"/>
  <c r="J127" i="3"/>
  <c r="B127" i="3"/>
  <c r="L126" i="3"/>
  <c r="K126" i="3"/>
  <c r="J126" i="3"/>
  <c r="B126" i="3"/>
  <c r="L125" i="3"/>
  <c r="K125" i="3"/>
  <c r="J125" i="3"/>
  <c r="B125" i="3"/>
  <c r="L124" i="3"/>
  <c r="K124" i="3"/>
  <c r="J124" i="3"/>
  <c r="B124" i="3"/>
  <c r="L123" i="3"/>
  <c r="K123" i="3"/>
  <c r="J123" i="3"/>
  <c r="B123" i="3"/>
  <c r="L122" i="3"/>
  <c r="K122" i="3"/>
  <c r="J122" i="3"/>
  <c r="B122" i="3"/>
  <c r="L121" i="3"/>
  <c r="K121" i="3"/>
  <c r="J121" i="3"/>
  <c r="B121" i="3"/>
  <c r="L120" i="3"/>
  <c r="K120" i="3"/>
  <c r="J120" i="3"/>
  <c r="B120" i="3"/>
  <c r="L119" i="3"/>
  <c r="K119" i="3"/>
  <c r="J119" i="3"/>
  <c r="B119" i="3"/>
  <c r="L118" i="3"/>
  <c r="K118" i="3"/>
  <c r="J118" i="3"/>
  <c r="B118" i="3"/>
  <c r="L117" i="3"/>
  <c r="K117" i="3"/>
  <c r="J117" i="3"/>
  <c r="B117" i="3"/>
  <c r="L116" i="3"/>
  <c r="K116" i="3"/>
  <c r="J116" i="3"/>
  <c r="B116" i="3"/>
  <c r="L115" i="3"/>
  <c r="K115" i="3"/>
  <c r="J115" i="3"/>
  <c r="B115" i="3"/>
  <c r="L114" i="3"/>
  <c r="K114" i="3"/>
  <c r="J114" i="3"/>
  <c r="B114" i="3"/>
  <c r="L113" i="3"/>
  <c r="K113" i="3"/>
  <c r="J113" i="3"/>
  <c r="B113" i="3"/>
  <c r="L112" i="3"/>
  <c r="K112" i="3"/>
  <c r="J112" i="3"/>
  <c r="B112" i="3"/>
  <c r="L111" i="3"/>
  <c r="K111" i="3"/>
  <c r="J111" i="3"/>
  <c r="B111" i="3"/>
  <c r="L110" i="3"/>
  <c r="K110" i="3"/>
  <c r="J110" i="3"/>
  <c r="B110" i="3"/>
  <c r="L109" i="3"/>
  <c r="K109" i="3"/>
  <c r="J109" i="3"/>
  <c r="B109" i="3"/>
  <c r="L108" i="3"/>
  <c r="K108" i="3"/>
  <c r="J108" i="3"/>
  <c r="B108" i="3"/>
  <c r="L107" i="3"/>
  <c r="K107" i="3"/>
  <c r="J107" i="3"/>
  <c r="B107" i="3"/>
  <c r="L106" i="3"/>
  <c r="K106" i="3"/>
  <c r="J106" i="3"/>
  <c r="B106" i="3"/>
  <c r="L105" i="3"/>
  <c r="K105" i="3"/>
  <c r="J105" i="3"/>
  <c r="B105" i="3"/>
  <c r="L104" i="3"/>
  <c r="K104" i="3"/>
  <c r="J104" i="3"/>
  <c r="B104" i="3"/>
  <c r="L103" i="3"/>
  <c r="K103" i="3"/>
  <c r="J103" i="3"/>
  <c r="B103" i="3"/>
  <c r="L102" i="3"/>
  <c r="K102" i="3"/>
  <c r="J102" i="3"/>
  <c r="B102" i="3"/>
  <c r="L101" i="3"/>
  <c r="K101" i="3"/>
  <c r="J101" i="3"/>
  <c r="B101" i="3"/>
  <c r="L100" i="3"/>
  <c r="K100" i="3"/>
  <c r="J100" i="3"/>
  <c r="B100" i="3"/>
  <c r="L99" i="3"/>
  <c r="K99" i="3"/>
  <c r="J99" i="3"/>
  <c r="B99" i="3"/>
  <c r="L98" i="3"/>
  <c r="K98" i="3"/>
  <c r="J98" i="3"/>
  <c r="B98" i="3"/>
  <c r="L97" i="3"/>
  <c r="K97" i="3"/>
  <c r="J97" i="3"/>
  <c r="B97" i="3"/>
  <c r="L96" i="3"/>
  <c r="K96" i="3"/>
  <c r="J96" i="3"/>
  <c r="B96" i="3"/>
  <c r="L95" i="3"/>
  <c r="K95" i="3"/>
  <c r="J95" i="3"/>
  <c r="B95" i="3"/>
  <c r="L94" i="3"/>
  <c r="K94" i="3"/>
  <c r="J94" i="3"/>
  <c r="B94" i="3"/>
  <c r="L93" i="3"/>
  <c r="K93" i="3"/>
  <c r="J93" i="3"/>
  <c r="B93" i="3"/>
  <c r="L92" i="3"/>
  <c r="K92" i="3"/>
  <c r="J92" i="3"/>
  <c r="B92" i="3"/>
  <c r="L91" i="3"/>
  <c r="K91" i="3"/>
  <c r="J91" i="3"/>
  <c r="B91" i="3"/>
  <c r="L90" i="3"/>
  <c r="K90" i="3"/>
  <c r="J90" i="3"/>
  <c r="B90" i="3"/>
  <c r="L89" i="3"/>
  <c r="K89" i="3"/>
  <c r="J89" i="3"/>
  <c r="B89" i="3"/>
  <c r="L88" i="3"/>
  <c r="K88" i="3"/>
  <c r="J88" i="3"/>
  <c r="B88" i="3"/>
  <c r="L87" i="3"/>
  <c r="K87" i="3"/>
  <c r="J87" i="3"/>
  <c r="B87" i="3"/>
  <c r="L86" i="3"/>
  <c r="K86" i="3"/>
  <c r="J86" i="3"/>
  <c r="B86" i="3"/>
  <c r="L85" i="3"/>
  <c r="K85" i="3"/>
  <c r="J85" i="3"/>
  <c r="B85" i="3"/>
  <c r="L84" i="3"/>
  <c r="K84" i="3"/>
  <c r="J84" i="3"/>
  <c r="B84" i="3"/>
  <c r="L83" i="3"/>
  <c r="K83" i="3"/>
  <c r="J83" i="3"/>
  <c r="B83" i="3"/>
  <c r="L82" i="3"/>
  <c r="K82" i="3"/>
  <c r="J82" i="3"/>
  <c r="B82" i="3"/>
  <c r="L81" i="3"/>
  <c r="K81" i="3"/>
  <c r="J81" i="3"/>
  <c r="B81" i="3"/>
  <c r="L80" i="3"/>
  <c r="K80" i="3"/>
  <c r="J80" i="3"/>
  <c r="B80" i="3"/>
  <c r="L79" i="3"/>
  <c r="K79" i="3"/>
  <c r="J79" i="3"/>
  <c r="B79" i="3"/>
  <c r="L78" i="3"/>
  <c r="K78" i="3"/>
  <c r="J78" i="3"/>
  <c r="B78" i="3"/>
  <c r="L77" i="3"/>
  <c r="K77" i="3"/>
  <c r="J77" i="3"/>
  <c r="B77" i="3"/>
  <c r="L76" i="3"/>
  <c r="K76" i="3"/>
  <c r="J76" i="3"/>
  <c r="B76" i="3"/>
  <c r="L75" i="3"/>
  <c r="K75" i="3"/>
  <c r="J75" i="3"/>
  <c r="B75" i="3"/>
  <c r="L74" i="3"/>
  <c r="K74" i="3"/>
  <c r="J74" i="3"/>
  <c r="B74" i="3"/>
  <c r="L73" i="3"/>
  <c r="K73" i="3"/>
  <c r="J73" i="3"/>
  <c r="B73" i="3"/>
  <c r="L72" i="3"/>
  <c r="K72" i="3"/>
  <c r="J72" i="3"/>
  <c r="B72" i="3"/>
  <c r="L71" i="3"/>
  <c r="K71" i="3"/>
  <c r="J71" i="3"/>
  <c r="B71" i="3"/>
  <c r="L70" i="3"/>
  <c r="K70" i="3"/>
  <c r="J70" i="3"/>
  <c r="B70" i="3"/>
  <c r="L69" i="3"/>
  <c r="K69" i="3"/>
  <c r="J69" i="3"/>
  <c r="B69" i="3"/>
  <c r="L68" i="3"/>
  <c r="K68" i="3"/>
  <c r="J68" i="3"/>
  <c r="B68" i="3"/>
  <c r="L67" i="3"/>
  <c r="K67" i="3"/>
  <c r="J67" i="3"/>
  <c r="B67" i="3"/>
  <c r="L66" i="3"/>
  <c r="K66" i="3"/>
  <c r="J66" i="3"/>
  <c r="B66" i="3"/>
  <c r="L65" i="3"/>
  <c r="K65" i="3"/>
  <c r="J65" i="3"/>
  <c r="B65" i="3"/>
  <c r="L64" i="3"/>
  <c r="K64" i="3"/>
  <c r="J64" i="3"/>
  <c r="B64" i="3"/>
  <c r="L63" i="3"/>
  <c r="K63" i="3"/>
  <c r="J63" i="3"/>
  <c r="B63" i="3"/>
  <c r="L62" i="3"/>
  <c r="K62" i="3"/>
  <c r="J62" i="3"/>
  <c r="B62" i="3"/>
  <c r="L61" i="3"/>
  <c r="K61" i="3"/>
  <c r="J61" i="3"/>
  <c r="B61" i="3"/>
  <c r="L60" i="3"/>
  <c r="K60" i="3"/>
  <c r="J60" i="3"/>
  <c r="B60" i="3"/>
  <c r="L59" i="3"/>
  <c r="K59" i="3"/>
  <c r="J59" i="3"/>
  <c r="B59" i="3"/>
  <c r="L58" i="3"/>
  <c r="K58" i="3"/>
  <c r="J58" i="3"/>
  <c r="B58" i="3"/>
  <c r="L57" i="3"/>
  <c r="K57" i="3"/>
  <c r="J57" i="3"/>
  <c r="B57" i="3"/>
  <c r="L56" i="3"/>
  <c r="K56" i="3"/>
  <c r="J56" i="3"/>
  <c r="B56" i="3"/>
  <c r="L55" i="3"/>
  <c r="K55" i="3"/>
  <c r="J55" i="3"/>
  <c r="B55" i="3"/>
  <c r="L54" i="3"/>
  <c r="K54" i="3"/>
  <c r="J54" i="3"/>
  <c r="B54" i="3"/>
  <c r="L53" i="3"/>
  <c r="K53" i="3"/>
  <c r="J53" i="3"/>
  <c r="B53" i="3"/>
  <c r="L52" i="3"/>
  <c r="K52" i="3"/>
  <c r="J52" i="3"/>
  <c r="B52" i="3"/>
  <c r="L51" i="3"/>
  <c r="K51" i="3"/>
  <c r="J51" i="3"/>
  <c r="B51" i="3"/>
  <c r="L50" i="3"/>
  <c r="K50" i="3"/>
  <c r="J50" i="3"/>
  <c r="B50" i="3"/>
  <c r="L49" i="3"/>
  <c r="K49" i="3"/>
  <c r="J49" i="3"/>
  <c r="B49" i="3"/>
  <c r="L48" i="3"/>
  <c r="K48" i="3"/>
  <c r="J48" i="3"/>
  <c r="B48" i="3"/>
  <c r="L47" i="3"/>
  <c r="K47" i="3"/>
  <c r="J47" i="3"/>
  <c r="B47" i="3"/>
  <c r="L46" i="3"/>
  <c r="K46" i="3"/>
  <c r="J46" i="3"/>
  <c r="B46" i="3"/>
  <c r="L45" i="3"/>
  <c r="K45" i="3"/>
  <c r="J45" i="3"/>
  <c r="B45" i="3"/>
  <c r="L44" i="3"/>
  <c r="K44" i="3"/>
  <c r="J44" i="3"/>
  <c r="B44" i="3"/>
  <c r="L43" i="3"/>
  <c r="K43" i="3"/>
  <c r="J43" i="3"/>
  <c r="B43" i="3"/>
  <c r="L42" i="3"/>
  <c r="K42" i="3"/>
  <c r="J42" i="3"/>
  <c r="B42" i="3"/>
  <c r="L41" i="3"/>
  <c r="K41" i="3"/>
  <c r="J41" i="3"/>
  <c r="B41" i="3"/>
  <c r="L40" i="3"/>
  <c r="K40" i="3"/>
  <c r="J40" i="3"/>
  <c r="B40" i="3"/>
  <c r="L39" i="3"/>
  <c r="K39" i="3"/>
  <c r="J39" i="3"/>
  <c r="B39" i="3"/>
  <c r="L38" i="3"/>
  <c r="K38" i="3"/>
  <c r="J38" i="3"/>
  <c r="B38" i="3"/>
  <c r="L37" i="3"/>
  <c r="K37" i="3"/>
  <c r="J37" i="3"/>
  <c r="B37" i="3"/>
  <c r="L36" i="3"/>
  <c r="K36" i="3"/>
  <c r="J36" i="3"/>
  <c r="B36" i="3"/>
  <c r="L35" i="3"/>
  <c r="K35" i="3"/>
  <c r="J35" i="3"/>
  <c r="B35" i="3"/>
  <c r="L34" i="3"/>
  <c r="K34" i="3"/>
  <c r="J34" i="3"/>
  <c r="B34" i="3"/>
  <c r="L33" i="3"/>
  <c r="K33" i="3"/>
  <c r="J33" i="3"/>
  <c r="B33" i="3"/>
  <c r="L32" i="3"/>
  <c r="K32" i="3"/>
  <c r="J32" i="3"/>
  <c r="B32" i="3"/>
  <c r="L31" i="3"/>
  <c r="K31" i="3"/>
  <c r="J31" i="3"/>
  <c r="B31" i="3"/>
  <c r="L30" i="3"/>
  <c r="K30" i="3"/>
  <c r="J30" i="3"/>
  <c r="B30" i="3"/>
  <c r="L29" i="3"/>
  <c r="K29" i="3"/>
  <c r="J29" i="3"/>
  <c r="B29" i="3"/>
  <c r="L28" i="3"/>
  <c r="K28" i="3"/>
  <c r="J28" i="3"/>
  <c r="B28" i="3"/>
  <c r="L27" i="3"/>
  <c r="K27" i="3"/>
  <c r="J27" i="3"/>
  <c r="B27" i="3"/>
  <c r="L26" i="3"/>
  <c r="K26" i="3"/>
  <c r="J26" i="3"/>
  <c r="B26" i="3"/>
  <c r="L25" i="3"/>
  <c r="K25" i="3"/>
  <c r="J25" i="3"/>
  <c r="B25" i="3"/>
  <c r="L24" i="3"/>
  <c r="K24" i="3"/>
  <c r="J24" i="3"/>
  <c r="B24" i="3"/>
  <c r="L23" i="3"/>
  <c r="K23" i="3"/>
  <c r="J23" i="3"/>
  <c r="B23" i="3"/>
  <c r="L22" i="3"/>
  <c r="K22" i="3"/>
  <c r="J22" i="3"/>
  <c r="B22" i="3"/>
  <c r="L21" i="3"/>
  <c r="K21" i="3"/>
  <c r="J21" i="3"/>
  <c r="B21" i="3"/>
  <c r="L20" i="3"/>
  <c r="K20" i="3"/>
  <c r="J20" i="3"/>
  <c r="B20" i="3"/>
  <c r="L19" i="3"/>
  <c r="K19" i="3"/>
  <c r="J19" i="3"/>
  <c r="B19" i="3"/>
  <c r="L18" i="3"/>
  <c r="K18" i="3"/>
  <c r="J18" i="3"/>
  <c r="B18" i="3"/>
  <c r="L17" i="3"/>
  <c r="K17" i="3"/>
  <c r="J17" i="3"/>
  <c r="B17" i="3"/>
  <c r="L16" i="3"/>
  <c r="K16" i="3"/>
  <c r="J16" i="3"/>
  <c r="B16" i="3"/>
  <c r="L15" i="3"/>
  <c r="K15" i="3"/>
  <c r="J15" i="3"/>
  <c r="B15" i="3"/>
  <c r="L14" i="3"/>
  <c r="K14" i="3"/>
  <c r="J14" i="3"/>
  <c r="B14" i="3"/>
  <c r="L13" i="3"/>
  <c r="K13" i="3"/>
  <c r="B13" i="3"/>
  <c r="L12" i="3"/>
  <c r="K12" i="3"/>
  <c r="B12" i="3"/>
  <c r="L11" i="3"/>
  <c r="K11" i="3"/>
  <c r="B11" i="3"/>
  <c r="L10" i="3"/>
  <c r="K10" i="3"/>
  <c r="B10" i="3"/>
  <c r="K9" i="3"/>
  <c r="B9" i="3"/>
  <c r="K8" i="3"/>
  <c r="B8" i="3"/>
  <c r="K7" i="3"/>
  <c r="L7" i="3"/>
  <c r="B7" i="3"/>
  <c r="K6" i="3"/>
  <c r="L6" i="3"/>
  <c r="B6" i="3"/>
  <c r="K5" i="3"/>
  <c r="L5" i="3"/>
  <c r="B5" i="3"/>
  <c r="K4" i="3"/>
  <c r="L4" i="3"/>
  <c r="B4" i="3"/>
  <c r="K3" i="3"/>
  <c r="L3" i="3"/>
  <c r="B3" i="3"/>
  <c r="K2" i="3"/>
  <c r="L2" i="3"/>
  <c r="B2" i="3"/>
  <c r="L24" i="2"/>
  <c r="K24" i="2"/>
  <c r="J24" i="2"/>
  <c r="I24" i="2"/>
  <c r="G24" i="2"/>
  <c r="F24" i="2"/>
  <c r="H24" i="2" s="1"/>
  <c r="L23" i="2"/>
  <c r="K23" i="2"/>
  <c r="J23" i="2"/>
  <c r="I23" i="2"/>
  <c r="G23" i="2"/>
  <c r="F23" i="2"/>
  <c r="H23" i="2" s="1"/>
  <c r="L22" i="2"/>
  <c r="K22" i="2"/>
  <c r="J22" i="2"/>
  <c r="I22" i="2"/>
  <c r="G22" i="2"/>
  <c r="F22" i="2"/>
  <c r="H22" i="2" s="1"/>
  <c r="L21" i="2"/>
  <c r="K21" i="2"/>
  <c r="J21" i="2"/>
  <c r="I21" i="2"/>
  <c r="G21" i="2"/>
  <c r="F21" i="2"/>
  <c r="H21" i="2" s="1"/>
  <c r="L20" i="2"/>
  <c r="K20" i="2"/>
  <c r="J20" i="2"/>
  <c r="I20" i="2"/>
  <c r="G20" i="2"/>
  <c r="F20" i="2"/>
  <c r="H20" i="2" s="1"/>
  <c r="L19" i="2"/>
  <c r="K19" i="2"/>
  <c r="J19" i="2"/>
  <c r="I19" i="2"/>
  <c r="G19" i="2"/>
  <c r="H19" i="2" s="1"/>
  <c r="F19" i="2"/>
  <c r="L18" i="2"/>
  <c r="K18" i="2"/>
  <c r="J18" i="2"/>
  <c r="I18" i="2"/>
  <c r="G18" i="2"/>
  <c r="F18" i="2"/>
  <c r="L17" i="2"/>
  <c r="K17" i="2"/>
  <c r="J17" i="2"/>
  <c r="I17" i="2"/>
  <c r="G17" i="2"/>
  <c r="F17" i="2"/>
  <c r="L16" i="2"/>
  <c r="K16" i="2"/>
  <c r="J16" i="2"/>
  <c r="I16" i="2"/>
  <c r="G16" i="2"/>
  <c r="H16" i="2" s="1"/>
  <c r="F16" i="2"/>
  <c r="L15" i="2"/>
  <c r="K15" i="2"/>
  <c r="J15" i="2"/>
  <c r="I15" i="2"/>
  <c r="G15" i="2"/>
  <c r="H15" i="2" s="1"/>
  <c r="F15" i="2"/>
  <c r="L14" i="2"/>
  <c r="K14" i="2"/>
  <c r="J14" i="2"/>
  <c r="I14" i="2"/>
  <c r="G14" i="2"/>
  <c r="H14" i="2" s="1"/>
  <c r="F14" i="2"/>
  <c r="L13" i="2"/>
  <c r="K13" i="2"/>
  <c r="J13" i="2"/>
  <c r="I13" i="2"/>
  <c r="G13" i="2"/>
  <c r="F13" i="2"/>
  <c r="L12" i="2"/>
  <c r="K12" i="2"/>
  <c r="J12" i="2"/>
  <c r="I12" i="2"/>
  <c r="G12" i="2"/>
  <c r="H12" i="2" s="1"/>
  <c r="F12" i="2"/>
  <c r="L11" i="2"/>
  <c r="K11" i="2"/>
  <c r="J11" i="2"/>
  <c r="I11" i="2"/>
  <c r="G11" i="2"/>
  <c r="F11" i="2"/>
  <c r="L10" i="2"/>
  <c r="K10" i="2"/>
  <c r="J10" i="2"/>
  <c r="I10" i="2"/>
  <c r="G10" i="2"/>
  <c r="F10" i="2"/>
  <c r="L9" i="2"/>
  <c r="K9" i="2"/>
  <c r="J9" i="2"/>
  <c r="I9" i="2"/>
  <c r="G9" i="2"/>
  <c r="H9" i="2" s="1"/>
  <c r="F9" i="2"/>
  <c r="L8" i="2"/>
  <c r="K8" i="2"/>
  <c r="J8" i="2"/>
  <c r="I8" i="2"/>
  <c r="G8" i="2"/>
  <c r="H8" i="2" s="1"/>
  <c r="F8" i="2"/>
  <c r="L7" i="2"/>
  <c r="K7" i="2"/>
  <c r="J7" i="2"/>
  <c r="I7" i="2"/>
  <c r="G7" i="2"/>
  <c r="F7" i="2"/>
  <c r="L6" i="2"/>
  <c r="K6" i="2"/>
  <c r="J6" i="2"/>
  <c r="I6" i="2"/>
  <c r="G6" i="2"/>
  <c r="H6" i="2" s="1"/>
  <c r="F6" i="2"/>
  <c r="L5" i="2"/>
  <c r="K5" i="2"/>
  <c r="J5" i="2"/>
  <c r="I5" i="2"/>
  <c r="G5" i="2"/>
  <c r="H5" i="2" s="1"/>
  <c r="F5" i="2"/>
  <c r="L4" i="2"/>
  <c r="K4" i="2"/>
  <c r="J4" i="2"/>
  <c r="I4" i="2"/>
  <c r="G4" i="2"/>
  <c r="H4" i="2" s="1"/>
  <c r="F4" i="2"/>
  <c r="L3" i="2"/>
  <c r="J3" i="2"/>
  <c r="I3" i="2"/>
  <c r="G3" i="2"/>
  <c r="F3" i="2"/>
  <c r="J2" i="2"/>
  <c r="I2" i="2"/>
  <c r="G2" i="2"/>
  <c r="H2" i="2" s="1"/>
  <c r="L2" i="2" s="1"/>
  <c r="F2" i="2"/>
  <c r="R22" i="1"/>
  <c r="R21" i="1"/>
  <c r="R20" i="1"/>
  <c r="R19" i="1"/>
  <c r="R18" i="1"/>
  <c r="R17" i="1"/>
  <c r="R16" i="1"/>
  <c r="R15" i="1"/>
  <c r="R14" i="1"/>
  <c r="R13" i="1"/>
  <c r="L13" i="1"/>
  <c r="K13" i="1"/>
  <c r="R12" i="1"/>
  <c r="L12" i="1"/>
  <c r="K12" i="1"/>
  <c r="R11" i="1"/>
  <c r="O11" i="1"/>
  <c r="L11" i="1"/>
  <c r="K11" i="1"/>
  <c r="R10" i="1"/>
  <c r="O10" i="1"/>
  <c r="L10" i="1"/>
  <c r="K10" i="1"/>
  <c r="U9" i="1"/>
  <c r="R9" i="1"/>
  <c r="O9" i="1"/>
  <c r="L9" i="1"/>
  <c r="K9" i="1"/>
  <c r="U8" i="1"/>
  <c r="R8" i="1"/>
  <c r="O8" i="1"/>
  <c r="L8" i="1"/>
  <c r="K8" i="1"/>
  <c r="F8" i="1"/>
  <c r="E8" i="1"/>
  <c r="D8" i="1"/>
  <c r="C8" i="1"/>
  <c r="B8" i="1"/>
  <c r="U7" i="1"/>
  <c r="R7" i="1"/>
  <c r="O7" i="1"/>
  <c r="L7" i="1"/>
  <c r="K7" i="1"/>
  <c r="U6" i="1"/>
  <c r="R6" i="1"/>
  <c r="O6" i="1"/>
  <c r="L6" i="1"/>
  <c r="K6" i="1"/>
  <c r="U5" i="1"/>
  <c r="R5" i="1"/>
  <c r="L5" i="1"/>
  <c r="K5" i="1"/>
  <c r="F5" i="1"/>
  <c r="E5" i="1"/>
  <c r="D5" i="1"/>
  <c r="C5" i="1"/>
  <c r="B5" i="1"/>
  <c r="A5" i="1"/>
  <c r="L9" i="3" l="1"/>
  <c r="O5" i="1"/>
  <c r="L8" i="3"/>
  <c r="B56" i="1"/>
  <c r="K2" i="2"/>
  <c r="H11" i="2"/>
  <c r="H17" i="2"/>
  <c r="H7" i="2"/>
  <c r="H10" i="2"/>
  <c r="H13" i="2"/>
  <c r="H18" i="2"/>
  <c r="H3" i="2"/>
  <c r="B54" i="1"/>
  <c r="D55" i="1"/>
  <c r="B53" i="1"/>
  <c r="B55" i="1"/>
  <c r="B52" i="1"/>
  <c r="D56" i="1"/>
  <c r="F55" i="1"/>
  <c r="F56" i="1"/>
  <c r="A8" i="1" l="1"/>
</calcChain>
</file>

<file path=xl/sharedStrings.xml><?xml version="1.0" encoding="utf-8"?>
<sst xmlns="http://schemas.openxmlformats.org/spreadsheetml/2006/main" count="1988" uniqueCount="688">
  <si>
    <t>ARIS Master Planner — Dashboard</t>
  </si>
  <si>
    <t>Auto-updating from Daily Log, ARIS Tasks, DSA, Resources, Applications, Networking</t>
  </si>
  <si>
    <t>Chart Data: Phase Completion</t>
  </si>
  <si>
    <t>Chart Data: Time Allocation (this week)</t>
  </si>
  <si>
    <t>Chart Data: DSA Patterns Done</t>
  </si>
  <si>
    <t>Chart Data: Application Funnel</t>
  </si>
  <si>
    <t>Days to ARIS Ship</t>
  </si>
  <si>
    <t>Days to Apps Open</t>
  </si>
  <si>
    <t>ARIS Tasks Done</t>
  </si>
  <si>
    <t>ARIS %</t>
  </si>
  <si>
    <t>DSA Solved</t>
  </si>
  <si>
    <t>Apps Submitted</t>
  </si>
  <si>
    <t>Phase</t>
  </si>
  <si>
    <t>Done</t>
  </si>
  <si>
    <t>Total</t>
  </si>
  <si>
    <t>Category</t>
  </si>
  <si>
    <t>Hours</t>
  </si>
  <si>
    <t>Pattern</t>
  </si>
  <si>
    <t>Stage</t>
  </si>
  <si>
    <t>Count</t>
  </si>
  <si>
    <t>Phase 0</t>
  </si>
  <si>
    <t>ARIS</t>
  </si>
  <si>
    <t>Arrays &amp; Hashing</t>
  </si>
  <si>
    <t>Applied+</t>
  </si>
  <si>
    <t>Phase 1</t>
  </si>
  <si>
    <t>DSA</t>
  </si>
  <si>
    <t>Two Pointers</t>
  </si>
  <si>
    <t>OA Stage+</t>
  </si>
  <si>
    <t>Hours This Week</t>
  </si>
  <si>
    <t>Hours Target Wk</t>
  </si>
  <si>
    <t>Resources Done</t>
  </si>
  <si>
    <t>Network Replies</t>
  </si>
  <si>
    <t>Outreach Sent</t>
  </si>
  <si>
    <t>Offers</t>
  </si>
  <si>
    <t>Phase 2</t>
  </si>
  <si>
    <t>App Tool</t>
  </si>
  <si>
    <t>Sliding Window</t>
  </si>
  <si>
    <t>Phone+</t>
  </si>
  <si>
    <t>Phase 3</t>
  </si>
  <si>
    <t>Networking</t>
  </si>
  <si>
    <t>Stack</t>
  </si>
  <si>
    <t>Final+</t>
  </si>
  <si>
    <t>Phase 4</t>
  </si>
  <si>
    <t>Writing</t>
  </si>
  <si>
    <t>Binary Search</t>
  </si>
  <si>
    <t>Phase 5</t>
  </si>
  <si>
    <t>Resources</t>
  </si>
  <si>
    <t>Linked List</t>
  </si>
  <si>
    <t>Phase 6</t>
  </si>
  <si>
    <t>Other</t>
  </si>
  <si>
    <t>Trees</t>
  </si>
  <si>
    <t>Phase 7</t>
  </si>
  <si>
    <t>Tries</t>
  </si>
  <si>
    <t>Phase 8</t>
  </si>
  <si>
    <t>Heap</t>
  </si>
  <si>
    <t>Backtracking</t>
  </si>
  <si>
    <t>Graphs</t>
  </si>
  <si>
    <t>Advanced Graphs</t>
  </si>
  <si>
    <t>1-D DP</t>
  </si>
  <si>
    <t>2-D DP</t>
  </si>
  <si>
    <t>Greedy</t>
  </si>
  <si>
    <t>Intervals</t>
  </si>
  <si>
    <t>Math &amp; Geometry</t>
  </si>
  <si>
    <t>Bit Manipulation</t>
  </si>
  <si>
    <t>Current Week Focus</t>
  </si>
  <si>
    <t>Week #</t>
  </si>
  <si>
    <t>Theme</t>
  </si>
  <si>
    <t>Tasks This Week</t>
  </si>
  <si>
    <t>% Complete</t>
  </si>
  <si>
    <t>Hours Logged</t>
  </si>
  <si>
    <t>DSA Done</t>
  </si>
  <si>
    <t>DSA Target</t>
  </si>
  <si>
    <t>Quick navigation</t>
  </si>
  <si>
    <t>→ Daily Log: log hours every evening (60 seconds).</t>
  </si>
  <si>
    <t>→ ARIS Tasks: tick to Done as you finish each task. Charts above auto-update.</t>
  </si>
  <si>
    <t>→ DSA Tracker: log every problem; the by-pattern chart shows your coverage gaps.</t>
  </si>
  <si>
    <t>→ Resources: when you finish a course, set Status = Done and log hours.</t>
  </si>
  <si>
    <t>→ Applications: pre-populated with target list; fire from Sept 15 onwards.</t>
  </si>
  <si>
    <t>→ Networking: log every outreach + reply. Stale follow-ups (&gt;14d) flag red.</t>
  </si>
  <si>
    <t>Week</t>
  </si>
  <si>
    <t>Start</t>
  </si>
  <si>
    <t>End</t>
  </si>
  <si>
    <t>ARIS Tasks Total</t>
  </si>
  <si>
    <t>Status</t>
  </si>
  <si>
    <t>Phase 0 — Pre-flight</t>
  </si>
  <si>
    <t>Setup: tools, accounts, GitHub purge, Day 1 readiness</t>
  </si>
  <si>
    <t>Phase 1 — Python found.</t>
  </si>
  <si>
    <t>Day 1 ignition: Python, Boot.dev OOP, NumPy, repo init</t>
  </si>
  <si>
    <t>pandas + first FastF1 plot, statistical baseline</t>
  </si>
  <si>
    <t>Phase 2 — Pipeline</t>
  </si>
  <si>
    <t>Postgres schema, FastF1 ingest, Streamlit skeleton, cloud deploy</t>
  </si>
  <si>
    <t>Dashboard polish, README pass, v0.2 tag, LinkedIn #2</t>
  </si>
  <si>
    <t>Phase 3 — Predictor</t>
  </si>
  <si>
    <t>Leakage tripwire FIRST, bicycle model, Brunel WhatsApp</t>
  </si>
  <si>
    <t>Tire degradation curve, physics-model.md</t>
  </si>
  <si>
    <t>Residual ML + conformal calibration, v0.3, LinkedIn #3</t>
  </si>
  <si>
    <t>Phase 4 — Counterfactual</t>
  </si>
  <si>
    <t>Perturbation API, action vocabulary</t>
  </si>
  <si>
    <t>What-if Streamlit page, screenshot for demo, LinkedIn #4</t>
  </si>
  <si>
    <t>Phase 5 — Always-on</t>
  </si>
  <si>
    <t>Replay engine, Tier 1 + Tier 3 ticks, Watch feed</t>
  </si>
  <si>
    <t>Monte Carlo slim layer, MATLAB port starts, v0.5, LinkedIn #5</t>
  </si>
  <si>
    <t>Phase 6 — LLM + MATLAB</t>
  </si>
  <si>
    <t>Llama narrator, RAG-grounded Ask mode</t>
  </si>
  <si>
    <t>MATLAB port finish, LLM polish, v0.6, LinkedIn #6</t>
  </si>
  <si>
    <t>Phase 7 — Eval + demo</t>
  </si>
  <si>
    <t>Eval pack, strategy backtest report, conformal coverage</t>
  </si>
  <si>
    <t>Demo video, Replay mode, HF Space, v1.0, LinkedIn #7</t>
  </si>
  <si>
    <t>Phase 8 — App pack</t>
  </si>
  <si>
    <t>CV rewrite, blog posts, cover letters, Careers review</t>
  </si>
  <si>
    <t>Alumni outreach, mock interviews, canonical questions</t>
  </si>
  <si>
    <t>Phase 9 — Sustain</t>
  </si>
  <si>
    <t>Apps open: fire first wave, weekly cadence locked</t>
  </si>
  <si>
    <t>Apps wave 2, mock interviews #2-3, LeetCode-easy daily</t>
  </si>
  <si>
    <t>Apps wave 3, sim-racing adapter starts (if time)</t>
  </si>
  <si>
    <t>Follow-ups, mock interviews #4-5</t>
  </si>
  <si>
    <t>Apps wave 4, LinkedIn post (only if new artefact)</t>
  </si>
  <si>
    <t>Date</t>
  </si>
  <si>
    <t>Day</t>
  </si>
  <si>
    <t>ARIS hrs</t>
  </si>
  <si>
    <t>DSA hrs</t>
  </si>
  <si>
    <t>App Tool hrs</t>
  </si>
  <si>
    <t>Networking hrs</t>
  </si>
  <si>
    <t>Writing hrs</t>
  </si>
  <si>
    <t>Resources hrs</t>
  </si>
  <si>
    <t>Other hrs</t>
  </si>
  <si>
    <t>Total hrs</t>
  </si>
  <si>
    <t>Target hrs</t>
  </si>
  <si>
    <t>Vs Target</t>
  </si>
  <si>
    <t>Notes</t>
  </si>
  <si>
    <t>Task</t>
  </si>
  <si>
    <t>Tier</t>
  </si>
  <si>
    <t>Hours Est</t>
  </si>
  <si>
    <t>Hours Actual</t>
  </si>
  <si>
    <t>Date Done</t>
  </si>
  <si>
    <t>Install Python 3.11.9 via pyenv-win; verify version</t>
  </si>
  <si>
    <t>Core</t>
  </si>
  <si>
    <t>Todo</t>
  </si>
  <si>
    <t>Install uv; verify uv --version</t>
  </si>
  <si>
    <t>Install Git for Windows + GitHub CLI; gh auth login</t>
  </si>
  <si>
    <t>Install VS Code + extensions (Python, Pylance, Ruff, Jupyter, Docker, GitLens, Mermaid, Markdown)</t>
  </si>
  <si>
    <t>Install Docker Desktop; docker run hello-world works</t>
  </si>
  <si>
    <t>Install latest NVIDIA driver; nvidia-smi shows RTX 5070</t>
  </si>
  <si>
    <t>Install CUDA Toolkit 12.x; nvcc --version works</t>
  </si>
  <si>
    <t>Install Ollama; ollama --version works</t>
  </si>
  <si>
    <t>ollama pull llama3.1:8b-instruct-q5_K_M and verify GPU prompt</t>
  </si>
  <si>
    <t>ollama pull llama3.2:3b (fallback)</t>
  </si>
  <si>
    <t>Tier C</t>
  </si>
  <si>
    <t>Install DBeaver Community</t>
  </si>
  <si>
    <t>Install OBS Studio + DaVinci Resolve / CapCut</t>
  </si>
  <si>
    <t>Set up MATLAB Online or Brunel R2024b student license</t>
  </si>
  <si>
    <t>Tier B</t>
  </si>
  <si>
    <t>Set up Obsidian vault for personal notes (outside repo)</t>
  </si>
  <si>
    <t>Create accounts: Streamlit Cloud, Neon.tech, HF, MathWorks, Coursera, DLAI, Bright Network</t>
  </si>
  <si>
    <t>Clean GitHub: purge NeuroSim, write ARIS-aligned README, pin repos</t>
  </si>
  <si>
    <t>Tier A</t>
  </si>
  <si>
    <t>Create empty aris repo (public, MIT, gitignore)</t>
  </si>
  <si>
    <t>Reserve Rajamani + Milliken from Brunel library</t>
  </si>
  <si>
    <t>Identify Brunel Racing contact (name + role)</t>
  </si>
  <si>
    <t>Book Brunel Careers Service 1:1 for May</t>
  </si>
  <si>
    <t>Flag a friend now for mock interviews in Week 16</t>
  </si>
  <si>
    <t>Initial commit to aris (README, pyproject.toml via uv init, gitignore, MIT)</t>
  </si>
  <si>
    <t>Boot.dev Python track through OOP basics</t>
  </si>
  <si>
    <t>NumPy basics — arrays, slicing, broadcasting</t>
  </si>
  <si>
    <t>First daily commit streak (≥1 commit every weekday)</t>
  </si>
  <si>
    <t>LOG.md created; daily two-line journal entries</t>
  </si>
  <si>
    <t>LinkedIn post #1 — starting ARIS (announcement)</t>
  </si>
  <si>
    <t>Finish Boot.dev OOP / numpy module</t>
  </si>
  <si>
    <t>James Powell pandas tutorials (2 hrs YouTube)</t>
  </si>
  <si>
    <t>uv add fastf1 matplotlib pandas jupyterlab</t>
  </si>
  <si>
    <t>Pull one race via FastF1 (e.g. 2023 Bahrain GP)</t>
  </si>
  <si>
    <t>Plot one driver lap times in matplotlib; commit chart + notebook</t>
  </si>
  <si>
    <t>Statistical baseline — moving-avg sector times scoring stub on dummy data</t>
  </si>
  <si>
    <t>Push to main; tag v0.1-foundation</t>
  </si>
  <si>
    <t>Postgres 16 in Docker, schema for sessions/drivers/laps/telemetry</t>
  </si>
  <si>
    <t>FastF1 ingest script — idempotent re-runs</t>
  </si>
  <si>
    <t>Ingest 1 full season as test corpus</t>
  </si>
  <si>
    <t>Streamlit skeleton: pick driver/race, list lap times</t>
  </si>
  <si>
    <t>Cloud deploy (moved up from Wk4): push to Streamlit Community Cloud, get public URL</t>
  </si>
  <si>
    <t>Brunel Racing kill checkpoint (Day 5): commit pivot to LOG.md if no path</t>
  </si>
  <si>
    <t>Sector breakdown chart on Streamlit page</t>
  </si>
  <si>
    <t>Race selector with proper season/round dropdowns</t>
  </si>
  <si>
    <t>First README pass: live URL, screenshots, project pitch</t>
  </si>
  <si>
    <t>Tag v0.2-pipeline</t>
  </si>
  <si>
    <t>LinkedIn post #2 — first 3 weeks shipped (with public URL)</t>
  </si>
  <si>
    <t>Reclaimed week buffer: Phase 3 leakage debug or schema migrations</t>
  </si>
  <si>
    <t>Day 1 commit: tests/test_no_leakage.py — race-by-race CV harness + leakage unit test (Tier B graft, MOST IMPORTANT)</t>
  </si>
  <si>
    <t>Read Rajamani Ch. 2 (single-track bicycle model)</t>
  </si>
  <si>
    <t>Hand-code bicycle model in Python; plot predicted vs actual on one stint</t>
  </si>
  <si>
    <t>Add fuel-burn linear term + pit-loss constant</t>
  </si>
  <si>
    <t>Commit physics module with invariant tests (mass conservation, monotonic fuel burn)</t>
  </si>
  <si>
    <t>Send Brunel Racing WhatsApp (with live URL + chart attached)</t>
  </si>
  <si>
    <t>Tire degradation curve: linear-with-fuel + exponential wear (Pacejka-style simplified)</t>
  </si>
  <si>
    <t>Plug into physics model; re-plot stint</t>
  </si>
  <si>
    <t>Notebook: per-compound deg curves on real FastF1 stints</t>
  </si>
  <si>
    <t>Document assumptions in docs/physics-model.md</t>
  </si>
  <si>
    <t>Residual layer: XGBoost (or tiny sklearn MLP), target = (actual − physics)</t>
  </si>
  <si>
    <t>Train/test split BY RACE never by lap (leakage tripwire green)</t>
  </si>
  <si>
    <t>Compute MAE per fold; report against floor/target/stretch</t>
  </si>
  <si>
    <t>Split-conformal calibration harness — empirical coverage, per-stint width plot</t>
  </si>
  <si>
    <t>Strategy backtest stub (undercut/SC scaffolding)</t>
  </si>
  <si>
    <t>Brunel Racing kill checkpoint (Wk7 end): commit pivot if no reply</t>
  </si>
  <si>
    <t>Tag v0.3-predictor</t>
  </si>
  <si>
    <t>LinkedIn post #3 — first real result (MAE + conformal coverage chart)</t>
  </si>
  <si>
    <t>Action vocabulary: lift point, brake point, line offset, pit lap, compound choice</t>
  </si>
  <si>
    <t>simulate(state, action_change) returns delta + new predicted stint</t>
  </si>
  <si>
    <t>Property tests: monotonicity, idempotence on null action</t>
  </si>
  <si>
    <t>Hook into Phase 3 predictor</t>
  </si>
  <si>
    <t>What-if mode in Streamlit: real lap selector + action sliders</t>
  </si>
  <si>
    <t>Predicted delta + chart + before/after comparison</t>
  </si>
  <si>
    <t>Capture screenshot for demo video</t>
  </si>
  <si>
    <t>Tag v0.4-counterfactual</t>
  </si>
  <si>
    <t>LinkedIn post #4 — what-if simulator (lift 30m T7 → +0.18s screenshot)</t>
  </si>
  <si>
    <t>Replay engine: feed FastF1 historical lap-by-lap as if live</t>
  </si>
  <si>
    <t>Tier 1 monitor (every 1–2s): anomaly detection on telemetry</t>
  </si>
  <si>
    <t>Tier 3 macro (per lap): action search across pit/compound/defend/attack</t>
  </si>
  <si>
    <t>Streamlit Watch feed: scrolling cards, top-3 recommendations</t>
  </si>
  <si>
    <t>3-day Monte Carlo slim layer: sample N continuations, win-prob delta</t>
  </si>
  <si>
    <t>Event-driven recompute hook (&lt;400ms): SC/VSC, competitor pit, weather, pace</t>
  </si>
  <si>
    <t>MATLAB/Simulink port (evenings parallel): start aris-matlab-validation repo, bicycle module</t>
  </si>
  <si>
    <t>Tag v0.5-always-on</t>
  </si>
  <si>
    <t>LinkedIn post #5 — always-on loop (recommendation feed clip + tiered tick paragraph)</t>
  </si>
  <si>
    <t>Prompt template: structured JSON recommendation → human sentence</t>
  </si>
  <si>
    <t>Local Llama 3.1 8B narrating in real time during replay</t>
  </si>
  <si>
    <t>Ask mode: NL Q&amp;A grounded in ARIS state (RAG over fits, residuals, MC runs)</t>
  </si>
  <si>
    <t>Citation in every answer (which fit/residual/MC run)</t>
  </si>
  <si>
    <t>Finish aris-matlab-validation: Simulink block diagram, comparison plot, README with placement framing</t>
  </si>
  <si>
    <t>Pin MATLAB repo on GitHub profile</t>
  </si>
  <si>
    <t>LLM prompt regression tests (sample inputs → expected sentence shapes)</t>
  </si>
  <si>
    <t>Tag v0.6-narrated</t>
  </si>
  <si>
    <t>LinkedIn post #6 — narrated strategy + MATLAB validation (two signals one post)</t>
  </si>
  <si>
    <t>Backtest on 5 held-out races; full eval table</t>
  </si>
  <si>
    <t>Conformal calibration empirical coverage check; coverage curve plot</t>
  </si>
  <si>
    <t>docs/strategy-backtest.md — undercut risk, SC sensitivity, pit-window deltas, hit-rate</t>
  </si>
  <si>
    <t>Phase 7 kill criterion check: if demo &gt; 5 days, ship 60-second cut</t>
  </si>
  <si>
    <t>Replay mode: scrub past laps, ARIS would-have vs actually-did</t>
  </si>
  <si>
    <t>OBS screen recording — three beats (live watching, lap 23 recommend, validation summary)</t>
  </si>
  <si>
    <t>Edit in DaVinci/CapCut; final cut ≤ 90s; voiceover (Claude API for polish)</t>
  </si>
  <si>
    <t>Upload to YouTube unlisted; embed in main README</t>
  </si>
  <si>
    <t>Hugging Face Space (Tier C): deploy ARIS Watch mode publicly</t>
  </si>
  <si>
    <t>Tag v1.0-shipped</t>
  </si>
  <si>
    <t>LinkedIn post #7 — ARIS shipped (flagship: pin demo, repo, HF Space, backtest)</t>
  </si>
  <si>
    <t>CV rewrite: ARIS at top, mapped to role-language table</t>
  </si>
  <si>
    <t>Brunel Careers Service review on new CV</t>
  </si>
  <si>
    <t>LinkedIn post #8 — technical deep-dive long-form (cross-post Medium)</t>
  </si>
  <si>
    <t>LinkedIn post #9 — motivation/story long-form (cross-post Medium)</t>
  </si>
  <si>
    <t>Cover-letter templates per team (Williams, McLaren, RB, Mercedes HPP, Aston Martin, M-Sport, Alpine, AP Racing, Bentley)</t>
  </si>
  <si>
    <t>3 cold messages/week to Brunel alumni at target firms</t>
  </si>
  <si>
    <t>Mock interview #1 with Week 0 friend</t>
  </si>
  <si>
    <t>Drill 5 canonical strategy questions (undercut/overcut, gap-to-leader, 1v2-stop, pit-stop walk, defend-decision)</t>
  </si>
  <si>
    <t>Walk-through dry-run: open any line of ARIS, answer 5-question test</t>
  </si>
  <si>
    <t>Final tag v1.0-placement-ready; freeze main</t>
  </si>
  <si>
    <t>#</t>
  </si>
  <si>
    <t>Problem</t>
  </si>
  <si>
    <t>Difficulty</t>
  </si>
  <si>
    <t>Date Solved</t>
  </si>
  <si>
    <t>Time (min)</t>
  </si>
  <si>
    <t>Source</t>
  </si>
  <si>
    <t>Contains Duplicate</t>
  </si>
  <si>
    <t>Easy</t>
  </si>
  <si>
    <t>NeetCode 150</t>
  </si>
  <si>
    <t>Valid Anagram</t>
  </si>
  <si>
    <t>Two Sum</t>
  </si>
  <si>
    <t>Group Anagrams</t>
  </si>
  <si>
    <t>Medium</t>
  </si>
  <si>
    <t>Top K Frequent Elements</t>
  </si>
  <si>
    <t>Encode and Decode Strings</t>
  </si>
  <si>
    <t>Product of Array Except Self</t>
  </si>
  <si>
    <t>Valid Sudoku</t>
  </si>
  <si>
    <t>Longest Consecutive Sequence</t>
  </si>
  <si>
    <t>Valid Palindrome</t>
  </si>
  <si>
    <t>Two Sum II - Input Array Is Sorted</t>
  </si>
  <si>
    <t>3Sum</t>
  </si>
  <si>
    <t>Container With Most Water</t>
  </si>
  <si>
    <t>Trapping Rain Water</t>
  </si>
  <si>
    <t>Hard</t>
  </si>
  <si>
    <t>Best Time to Buy and Sell Stock</t>
  </si>
  <si>
    <t>Longest Substring Without Repeating Characters</t>
  </si>
  <si>
    <t>Longest Repeating Character Replacement</t>
  </si>
  <si>
    <t>Permutation in String</t>
  </si>
  <si>
    <t>Minimum Window Substring</t>
  </si>
  <si>
    <t>Sliding Window Maximum</t>
  </si>
  <si>
    <t>Valid Parentheses</t>
  </si>
  <si>
    <t>Min Stack</t>
  </si>
  <si>
    <t>Evaluate Reverse Polish Notation</t>
  </si>
  <si>
    <t>Generate Parentheses</t>
  </si>
  <si>
    <t>Daily Temperatures</t>
  </si>
  <si>
    <t>Car Fleet</t>
  </si>
  <si>
    <t>Largest Rectangle in Histogram</t>
  </si>
  <si>
    <t>Search a 2D Matrix</t>
  </si>
  <si>
    <t>Koko Eating Bananas</t>
  </si>
  <si>
    <t>Find Minimum in Rotated Sorted Array</t>
  </si>
  <si>
    <t>Search in Rotated Sorted Array</t>
  </si>
  <si>
    <t>Time Based Key-Value Store</t>
  </si>
  <si>
    <t>Median of Two Sorted Arrays</t>
  </si>
  <si>
    <t>Reverse Linked List</t>
  </si>
  <si>
    <t>Merge Two Sorted Lists</t>
  </si>
  <si>
    <t>Reorder List</t>
  </si>
  <si>
    <t>Remove Nth Node From End of List</t>
  </si>
  <si>
    <t>Copy List with Random Pointer</t>
  </si>
  <si>
    <t>Add Two Numbers</t>
  </si>
  <si>
    <t>Linked List Cycle</t>
  </si>
  <si>
    <t>Find the Duplicate Number</t>
  </si>
  <si>
    <t>LRU Cache</t>
  </si>
  <si>
    <t>Merge K Sorted Lists</t>
  </si>
  <si>
    <t>Reverse Nodes in K-Group</t>
  </si>
  <si>
    <t>Invert Binary Tree</t>
  </si>
  <si>
    <t>Maximum Depth of Binary Tree</t>
  </si>
  <si>
    <t>Diameter of Binary Tree</t>
  </si>
  <si>
    <t>Balanced Binary Tree</t>
  </si>
  <si>
    <t>Same Tree</t>
  </si>
  <si>
    <t>Subtree of Another Tree</t>
  </si>
  <si>
    <t>Lowest Common Ancestor of a BST</t>
  </si>
  <si>
    <t>Binary Tree Level Order Traversal</t>
  </si>
  <si>
    <t>Binary Tree Right Side View</t>
  </si>
  <si>
    <t>Count Good Nodes In Binary Tree</t>
  </si>
  <si>
    <t>Validate Binary Search Tree</t>
  </si>
  <si>
    <t>Kth Smallest Element in a BST</t>
  </si>
  <si>
    <t>Construct Binary Tree from Preorder and Inorder Traversal</t>
  </si>
  <si>
    <t>Binary Tree Maximum Path Sum</t>
  </si>
  <si>
    <t>Serialize and Deserialize Binary Tree</t>
  </si>
  <si>
    <t>Implement Trie (Prefix Tree)</t>
  </si>
  <si>
    <t>Design Add and Search Words Data Structure</t>
  </si>
  <si>
    <t>Word Search II</t>
  </si>
  <si>
    <t>Kth Largest Element in a Stream</t>
  </si>
  <si>
    <t>Last Stone Weight</t>
  </si>
  <si>
    <t>K Closest Points to Origin</t>
  </si>
  <si>
    <t>Kth Largest Element in an Array</t>
  </si>
  <si>
    <t>Task Scheduler</t>
  </si>
  <si>
    <t>Design Twitter</t>
  </si>
  <si>
    <t>Find Median from Data Stream</t>
  </si>
  <si>
    <t>Subsets</t>
  </si>
  <si>
    <t>Combination Sum</t>
  </si>
  <si>
    <t>Permutations</t>
  </si>
  <si>
    <t>Subsets II</t>
  </si>
  <si>
    <t>Combination Sum II</t>
  </si>
  <si>
    <t>Word Search</t>
  </si>
  <si>
    <t>Palindrome Partitioning</t>
  </si>
  <si>
    <t>Letter Combinations of a Phone Number</t>
  </si>
  <si>
    <t>N-Queens</t>
  </si>
  <si>
    <t>Number of Islands</t>
  </si>
  <si>
    <t>Max Area of Island</t>
  </si>
  <si>
    <t>Clone Graph</t>
  </si>
  <si>
    <t>Walls and Gates</t>
  </si>
  <si>
    <t>Rotting Oranges</t>
  </si>
  <si>
    <t>Pacific Atlantic Water Flow</t>
  </si>
  <si>
    <t>Surrounded Regions</t>
  </si>
  <si>
    <t>Course Schedule</t>
  </si>
  <si>
    <t>Course Schedule II</t>
  </si>
  <si>
    <t>Graph Valid Tree</t>
  </si>
  <si>
    <t>Number of Connected Components in an Undirected Graph</t>
  </si>
  <si>
    <t>Redundant Connection</t>
  </si>
  <si>
    <t>Word Ladder</t>
  </si>
  <si>
    <t>Reconstruct Itinerary</t>
  </si>
  <si>
    <t>Min Cost to Connect All Points</t>
  </si>
  <si>
    <t>Network Delay Time</t>
  </si>
  <si>
    <t>Swim in Rising Water</t>
  </si>
  <si>
    <t>Alien Dictionary</t>
  </si>
  <si>
    <t>Cheapest Flights Within K Stops</t>
  </si>
  <si>
    <t>Climbing Stairs</t>
  </si>
  <si>
    <t>Min Cost Climbing Stairs</t>
  </si>
  <si>
    <t>House Robber</t>
  </si>
  <si>
    <t>House Robber II</t>
  </si>
  <si>
    <t>Longest Palindromic Substring</t>
  </si>
  <si>
    <t>Palindromic Substrings</t>
  </si>
  <si>
    <t>Decode Ways</t>
  </si>
  <si>
    <t>Coin Change</t>
  </si>
  <si>
    <t>Maximum Product Subarray</t>
  </si>
  <si>
    <t>Word Break</t>
  </si>
  <si>
    <t>Longest Increasing Subsequence</t>
  </si>
  <si>
    <t>Partition Equal Subset Sum</t>
  </si>
  <si>
    <t>Unique Paths</t>
  </si>
  <si>
    <t>Longest Common Subsequence</t>
  </si>
  <si>
    <t>Best Time to Buy and Sell Stock with Cooldown</t>
  </si>
  <si>
    <t>Coin Change II</t>
  </si>
  <si>
    <t>Target Sum</t>
  </si>
  <si>
    <t>Interleaving String</t>
  </si>
  <si>
    <t>Longest Increasing Path in a Matrix</t>
  </si>
  <si>
    <t>Distinct Subsequences</t>
  </si>
  <si>
    <t>Edit Distance</t>
  </si>
  <si>
    <t>Burst Balloons</t>
  </si>
  <si>
    <t>Regular Expression Matching</t>
  </si>
  <si>
    <t>Maximum Subarray</t>
  </si>
  <si>
    <t>Jump Game</t>
  </si>
  <si>
    <t>Jump Game II</t>
  </si>
  <si>
    <t>Gas Station</t>
  </si>
  <si>
    <t>Hand of Straights</t>
  </si>
  <si>
    <t>Merge Triplets to Form Target Triplet</t>
  </si>
  <si>
    <t>Partition Labels</t>
  </si>
  <si>
    <t>Valid Parenthesis String</t>
  </si>
  <si>
    <t>Insert Interval</t>
  </si>
  <si>
    <t>Merge Intervals</t>
  </si>
  <si>
    <t>Non-overlapping Intervals</t>
  </si>
  <si>
    <t>Meeting Rooms</t>
  </si>
  <si>
    <t>Meeting Rooms II</t>
  </si>
  <si>
    <t>Minimum Interval to Include Each Query</t>
  </si>
  <si>
    <t>Rotate Image</t>
  </si>
  <si>
    <t>Spiral Matrix</t>
  </si>
  <si>
    <t>Set Matrix Zeroes</t>
  </si>
  <si>
    <t>Happy Number</t>
  </si>
  <si>
    <t>Plus One</t>
  </si>
  <si>
    <t>Pow(x, n)</t>
  </si>
  <si>
    <t>Multiply Strings</t>
  </si>
  <si>
    <t>Detect Squares</t>
  </si>
  <si>
    <t>Single Number</t>
  </si>
  <si>
    <t>Number of 1 Bits</t>
  </si>
  <si>
    <t>Counting Bits</t>
  </si>
  <si>
    <t>Reverse Bits</t>
  </si>
  <si>
    <t>Missing Number</t>
  </si>
  <si>
    <t>Sum of Two Integers</t>
  </si>
  <si>
    <t>Reverse Integer</t>
  </si>
  <si>
    <t>When</t>
  </si>
  <si>
    <t>Domain</t>
  </si>
  <si>
    <t>Resource</t>
  </si>
  <si>
    <t>Type</t>
  </si>
  <si>
    <t>Free?</t>
  </si>
  <si>
    <t>URL/Source</t>
  </si>
  <si>
    <t>Hours Done</t>
  </si>
  <si>
    <t>Verify Done When</t>
  </si>
  <si>
    <t>Wk0-2</t>
  </si>
  <si>
    <t>Python</t>
  </si>
  <si>
    <t>Boot.dev — Python track + OOP</t>
  </si>
  <si>
    <t>Course</t>
  </si>
  <si>
    <t>Primary</t>
  </si>
  <si>
    <t>Paid</t>
  </si>
  <si>
    <t>boot.dev</t>
  </si>
  <si>
    <t>Completed Python + OOP modules; all exercises green</t>
  </si>
  <si>
    <t>Real Python tutorials + Mosh Hamedani Python (YouTube)</t>
  </si>
  <si>
    <t>Backup</t>
  </si>
  <si>
    <t>Free</t>
  </si>
  <si>
    <t>youtube.com/c/programmingwithmosh</t>
  </si>
  <si>
    <t>Completed beginner + intermediate Python videos; can write a class confidently</t>
  </si>
  <si>
    <t>Wk1-2</t>
  </si>
  <si>
    <t>James Powell pandas tutorial (YouTube, ~2h)</t>
  </si>
  <si>
    <t>youtube.com — search 'James Powell pandas'</t>
  </si>
  <si>
    <t>Watched + replicated key examples in a Jupyter notebook</t>
  </si>
  <si>
    <t>Kaggle Pandas micro-course</t>
  </si>
  <si>
    <t>kaggle.com/learn/pandas</t>
  </si>
  <si>
    <t>All 6 exercises passed</t>
  </si>
  <si>
    <t>Fluent Python (Ramalho) — Ch.1-3</t>
  </si>
  <si>
    <t>Book</t>
  </si>
  <si>
    <t>Library</t>
  </si>
  <si>
    <t>Brunel library / O'Reilly</t>
  </si>
  <si>
    <t>Read first 3 chapters; can explain duck typing + special methods</t>
  </si>
  <si>
    <t>Effective Python (Slatkin) — items 1-30</t>
  </si>
  <si>
    <t>Read items 1-30; applied 5 patterns to ARIS code</t>
  </si>
  <si>
    <t>Wk2-4</t>
  </si>
  <si>
    <t>ML</t>
  </si>
  <si>
    <t>Andrew Ng — Machine Learning Specialization (Coursera)</t>
  </si>
  <si>
    <t>Free (audit)</t>
  </si>
  <si>
    <t>coursera.org/specializations/machine-learning-introduction</t>
  </si>
  <si>
    <t>Course 1 + Course 2 audited; certificates only if paid</t>
  </si>
  <si>
    <t>fast.ai Practical Deep Learning Part 1</t>
  </si>
  <si>
    <t>course.fast.ai</t>
  </si>
  <si>
    <t>Lessons 1-4 watched + first notebook adapted to a personal dataset</t>
  </si>
  <si>
    <t>Wk2-5</t>
  </si>
  <si>
    <t>StatQuest with Josh Starmer — XGBoost, Gradient Boosting, Conformal Pred</t>
  </si>
  <si>
    <t>Video series</t>
  </si>
  <si>
    <t>youtube.com/@statquest</t>
  </si>
  <si>
    <t>Watched all relevant playlists; can sketch each algorithm on paper</t>
  </si>
  <si>
    <t>3Blue1Brown — Neural Networks playlist</t>
  </si>
  <si>
    <t>youtube.com/@3blue1brown</t>
  </si>
  <si>
    <t>Watched all 4 videos in NN series</t>
  </si>
  <si>
    <t>Hundred-Page ML Book (Burkov)</t>
  </si>
  <si>
    <t>Free PDF</t>
  </si>
  <si>
    <t>themlbook.com — 'read first' draft chapters free</t>
  </si>
  <si>
    <t>Read cover to cover; can explain bias/variance + cross-validation</t>
  </si>
  <si>
    <t>Designing Machine Learning Systems (Huyen) — Ch.4-6</t>
  </si>
  <si>
    <t>Read chapters 4-6 (training data, feature eng, model dev)</t>
  </si>
  <si>
    <t>Wk4-5</t>
  </si>
  <si>
    <t>Vehicle Dyn.</t>
  </si>
  <si>
    <t>Rajamani — Vehicle Dynamics and Control, Ch.1-3</t>
  </si>
  <si>
    <t>Brunel library (reserve Wk0)</t>
  </si>
  <si>
    <t>Can derive bicycle model on whiteboard from memory in &lt;10 min</t>
  </si>
  <si>
    <t>MIT OCW 2.04A Systems &amp; Controls — relevant lectures</t>
  </si>
  <si>
    <t>ocw.mit.edu — search 2.04A</t>
  </si>
  <si>
    <t>Watched lateral dynamics + tire model lectures</t>
  </si>
  <si>
    <t>Milliken — Race Car Vehicle Dynamics — reference</t>
  </si>
  <si>
    <t>Brunel library</t>
  </si>
  <si>
    <t>Skimmed Ch. 1 + 5 + 14 (tire mechanics)</t>
  </si>
  <si>
    <t>Wk4-6</t>
  </si>
  <si>
    <t>TUMFTM racesim_basic — read source code</t>
  </si>
  <si>
    <t>Code</t>
  </si>
  <si>
    <t>github.com/TUMFTM/racesim</t>
  </si>
  <si>
    <t>Read ingest + sim core; understood how stints are simulated</t>
  </si>
  <si>
    <t>Wk6-7</t>
  </si>
  <si>
    <t>Stats/ML</t>
  </si>
  <si>
    <t>Angelopoulos &amp; Bates — Gentle Intro to Conformal Prediction</t>
  </si>
  <si>
    <t>Paper</t>
  </si>
  <si>
    <t>arxiv.org/abs/2107.07511</t>
  </si>
  <si>
    <t>Read sections 1-3; implemented split-conformal on a toy regression</t>
  </si>
  <si>
    <t>MAPIE library + tutorials</t>
  </si>
  <si>
    <t>github.com/scikit-learn-contrib/MAPIE</t>
  </si>
  <si>
    <t>Ran MAPIE tutorial notebook end-to-end</t>
  </si>
  <si>
    <t>Forecasting: Principles and Practice (Hyndman) — Ch. 1-3, 5</t>
  </si>
  <si>
    <t>otexts.com/fpp3</t>
  </si>
  <si>
    <t>Read chapters 1-3, 5; understands what makes a forecast 'good'</t>
  </si>
  <si>
    <t>Wk3-7</t>
  </si>
  <si>
    <t>SE</t>
  </si>
  <si>
    <t>Designing Data-Intensive Applications (Kleppmann) — Ch.1-4, 7</t>
  </si>
  <si>
    <t>Read Ch.1-4 + 7; can explain replication, partitioning, and serializability</t>
  </si>
  <si>
    <t>System Design Primer (donnemartin)</t>
  </si>
  <si>
    <t>Repo</t>
  </si>
  <si>
    <t>github.com/donnemartin/system-design-primer</t>
  </si>
  <si>
    <t>Read core sections; took notes on caching + load balancing</t>
  </si>
  <si>
    <t>12factor.net — Twelve-Factor App</t>
  </si>
  <si>
    <t>Article</t>
  </si>
  <si>
    <t>12factor.net</t>
  </si>
  <si>
    <t>Read all 12 factors; ARIS deployment audited against them</t>
  </si>
  <si>
    <t>roadmap.sh — Backend roadmap</t>
  </si>
  <si>
    <t>Roadmap</t>
  </si>
  <si>
    <t>roadmap.sh/backend</t>
  </si>
  <si>
    <t>Walked the roadmap; identified 3 gaps to patch via ARIS work</t>
  </si>
  <si>
    <t>Wk11-13</t>
  </si>
  <si>
    <t>MATLAB</t>
  </si>
  <si>
    <t>MATLAB Onramp (MathWorks) + Simulink Onramp</t>
  </si>
  <si>
    <t>matlabacademy.mathworks.com</t>
  </si>
  <si>
    <t>Both Onramp courses completed with certificate</t>
  </si>
  <si>
    <t>MathWorks Vehicle Dynamics Onramp (if available)</t>
  </si>
  <si>
    <t>matlabacademy.mathworks.com — search Vehicle Dynamics</t>
  </si>
  <si>
    <t>Completed if available; otherwise built bicycle model in Simulink unaided</t>
  </si>
  <si>
    <t>Wk10-12</t>
  </si>
  <si>
    <t>LLM</t>
  </si>
  <si>
    <t>DeepLearning.AI short courses — RAG + LangChain</t>
  </si>
  <si>
    <t>learn.deeplearning.ai</t>
  </si>
  <si>
    <t>Completed RAG + LLM application short courses; built a toy RAG over docs</t>
  </si>
  <si>
    <t>Anthropic Cookbook (GitHub) — RAG + tool use</t>
  </si>
  <si>
    <t>github.com/anthropics/anthropic-cookbook</t>
  </si>
  <si>
    <t>Adapted 1-2 cookbook recipes to ARIS narration prompts</t>
  </si>
  <si>
    <t>Always-on</t>
  </si>
  <si>
    <t>NeetCode 150 (Roadmap)</t>
  </si>
  <si>
    <t>neetcode.io</t>
  </si>
  <si>
    <t>100 of 150 problems Done by August, 150 by application time</t>
  </si>
  <si>
    <t>Grokking Coding Interview Patterns (Educative)</t>
  </si>
  <si>
    <t>Paid (free trial)</t>
  </si>
  <si>
    <t>educative.io</t>
  </si>
  <si>
    <t>Patterns 1-12 read + 3 example problems each implemented</t>
  </si>
  <si>
    <t>CSES Problem Set</t>
  </si>
  <si>
    <t>Practice</t>
  </si>
  <si>
    <t>cses.fi/problemset</t>
  </si>
  <si>
    <t>Sorting + Searching section completed (used as alternative to LeetCode)</t>
  </si>
  <si>
    <t>Wk16-17+</t>
  </si>
  <si>
    <t>Interview</t>
  </si>
  <si>
    <t>Pramp — peer mock interviews</t>
  </si>
  <si>
    <t>pramp.com</t>
  </si>
  <si>
    <t>Completed 5 behavioral + 5 technical mocks</t>
  </si>
  <si>
    <t>Interviewing.io — anonymous mocks</t>
  </si>
  <si>
    <t>Free + paid</t>
  </si>
  <si>
    <t>interviewing.io</t>
  </si>
  <si>
    <t>Completed 3 mocks; reviewed feedback</t>
  </si>
  <si>
    <t>Cracking the Coding Interview (Laakmann McDowell) — behavioral chapters</t>
  </si>
  <si>
    <t>Read behavioral + 'how the process works' chapters</t>
  </si>
  <si>
    <t>Wk14+</t>
  </si>
  <si>
    <t>Quant prep</t>
  </si>
  <si>
    <t>A Practical Guide to Quantitative Finance Interviews (Xinfeng Zhou)</t>
  </si>
  <si>
    <t>Library/PDF</t>
  </si>
  <si>
    <t>Read brain-teasers + probability chapters; solved 30+ problems</t>
  </si>
  <si>
    <t>Heard on the Street (Crack)</t>
  </si>
  <si>
    <t>Read first 100 puzzles; solved without looking at answers</t>
  </si>
  <si>
    <t>F1 strategy</t>
  </si>
  <si>
    <t>F1: Beyond the Grid podcast (esp. strategy episodes)</t>
  </si>
  <si>
    <t>Podcast</t>
  </si>
  <si>
    <t>Spotify / open.spotify.com</t>
  </si>
  <si>
    <t>Listened to 8+ strategy-themed episodes</t>
  </si>
  <si>
    <t>Bernie Collins on Sky F1 + The Race YouTube strategy briefings</t>
  </si>
  <si>
    <t>Video</t>
  </si>
  <si>
    <t>youtube.com/@therace</t>
  </si>
  <si>
    <t>Watched 1 strategy briefing per race week</t>
  </si>
  <si>
    <t>Mark Hughes columns — The Race</t>
  </si>
  <si>
    <t>the-race.com/author/mark-hughes</t>
  </si>
  <si>
    <t>Read 1 column per race week; built strategy vocab notebook</t>
  </si>
  <si>
    <t>Wk4+</t>
  </si>
  <si>
    <t>Julian Shapiro's writing guide</t>
  </si>
  <si>
    <t>julian.com/guide/write</t>
  </si>
  <si>
    <t>Read entirely; applied to LinkedIn post #2 onward</t>
  </si>
  <si>
    <t>Patio11 — Don't Call Yourself a Programmer</t>
  </si>
  <si>
    <t>kalzumeus.com/2011/10/28/dont-call-yourself-a-programmer</t>
  </si>
  <si>
    <t>Read; key lessons noted in Obsidian</t>
  </si>
  <si>
    <t>Company</t>
  </si>
  <si>
    <t>Role</t>
  </si>
  <si>
    <t>Date Applied</t>
  </si>
  <si>
    <t>Last Update</t>
  </si>
  <si>
    <t>Days Since Apply</t>
  </si>
  <si>
    <t>Days Since Update</t>
  </si>
  <si>
    <t>Next Action</t>
  </si>
  <si>
    <t>Next Action Date</t>
  </si>
  <si>
    <t>Williams Racing</t>
  </si>
  <si>
    <t>Software Engineer — Vehicle Performance Software</t>
  </si>
  <si>
    <t>Placement</t>
  </si>
  <si>
    <t>Williams careers</t>
  </si>
  <si>
    <t>Drafted</t>
  </si>
  <si>
    <t>Aston Martin F1</t>
  </si>
  <si>
    <t>Software Engineer — AMPT VP</t>
  </si>
  <si>
    <t>AM careers</t>
  </si>
  <si>
    <t>Mercedes AMG HPP</t>
  </si>
  <si>
    <t>Software &amp; Controls Placement</t>
  </si>
  <si>
    <t>Mercedes careers</t>
  </si>
  <si>
    <t>McLaren Racing</t>
  </si>
  <si>
    <t>Engineering / Software Placement</t>
  </si>
  <si>
    <t>McLaren careers</t>
  </si>
  <si>
    <t>Red Bull Racing</t>
  </si>
  <si>
    <t>Software / Race Strategy Student</t>
  </si>
  <si>
    <t>RB careers</t>
  </si>
  <si>
    <t>Williams Advanced Engineering</t>
  </si>
  <si>
    <t>Software Engineer Placement</t>
  </si>
  <si>
    <t>WAE careers</t>
  </si>
  <si>
    <t>Red Bull Advanced Technologies</t>
  </si>
  <si>
    <t>Software Placement</t>
  </si>
  <si>
    <t>RBAT careers</t>
  </si>
  <si>
    <t>M-Sport (Cumbria)</t>
  </si>
  <si>
    <t>M-Sport careers</t>
  </si>
  <si>
    <t>Alpine F1</t>
  </si>
  <si>
    <t>Alpine careers</t>
  </si>
  <si>
    <t>AP Racing</t>
  </si>
  <si>
    <t>Software / Engineering Placement</t>
  </si>
  <si>
    <t>AP Racing careers</t>
  </si>
  <si>
    <t>Bentley Motors</t>
  </si>
  <si>
    <t>Bentley careers</t>
  </si>
  <si>
    <t>McLaren Applied</t>
  </si>
  <si>
    <t>Software / Telemetry Placement</t>
  </si>
  <si>
    <t>McLaren Applied careers</t>
  </si>
  <si>
    <t>Cosworth</t>
  </si>
  <si>
    <t>Electronics / Software Placement</t>
  </si>
  <si>
    <t>Cosworth careers</t>
  </si>
  <si>
    <t>G-Research</t>
  </si>
  <si>
    <t>Quantitative Researcher Internship</t>
  </si>
  <si>
    <t>Internship</t>
  </si>
  <si>
    <t>G-Research careers</t>
  </si>
  <si>
    <t>Optiver</t>
  </si>
  <si>
    <t>Software Engineer Internship</t>
  </si>
  <si>
    <t>Optiver careers</t>
  </si>
  <si>
    <t>IMC Trading</t>
  </si>
  <si>
    <t>IMC careers</t>
  </si>
  <si>
    <t>Jane Street</t>
  </si>
  <si>
    <t>Software Engineering Internship</t>
  </si>
  <si>
    <t>JS careers</t>
  </si>
  <si>
    <t>Citadel / Citadel Securities</t>
  </si>
  <si>
    <t>Citadel careers</t>
  </si>
  <si>
    <t>Bloomberg LP</t>
  </si>
  <si>
    <t>Bloomberg careers</t>
  </si>
  <si>
    <t>Stripe</t>
  </si>
  <si>
    <t>Stripe careers</t>
  </si>
  <si>
    <t>Revolut</t>
  </si>
  <si>
    <t>Revolut careers</t>
  </si>
  <si>
    <t>Wise</t>
  </si>
  <si>
    <t>Wise careers</t>
  </si>
  <si>
    <t>Monzo</t>
  </si>
  <si>
    <t>Monzo careers</t>
  </si>
  <si>
    <t>Google UK</t>
  </si>
  <si>
    <t>STEP / Engineering Practicum</t>
  </si>
  <si>
    <t>Google careers</t>
  </si>
  <si>
    <t>Meta UK</t>
  </si>
  <si>
    <t>Meta careers</t>
  </si>
  <si>
    <t>Date Sent</t>
  </si>
  <si>
    <t>Person</t>
  </si>
  <si>
    <t>Connection</t>
  </si>
  <si>
    <t>Channel</t>
  </si>
  <si>
    <t>Action</t>
  </si>
  <si>
    <t>Reply?</t>
  </si>
  <si>
    <t>Reply Date</t>
  </si>
  <si>
    <t>Days to Reply</t>
  </si>
  <si>
    <t>Follow-up Date</t>
  </si>
  <si>
    <t>Next Step</t>
  </si>
  <si>
    <t>Pending</t>
  </si>
  <si>
    <t>ARIS Master Planner — Settings</t>
  </si>
  <si>
    <t>Key Date</t>
  </si>
  <si>
    <t>Value</t>
  </si>
  <si>
    <t>Status Options</t>
  </si>
  <si>
    <t>Time Category</t>
  </si>
  <si>
    <t>Project Start (Week 1, Day 1)</t>
  </si>
  <si>
    <t>Phase 3 Brunel Kill</t>
  </si>
  <si>
    <t>Doing</t>
  </si>
  <si>
    <t>ARIS Ship Date</t>
  </si>
  <si>
    <t>Applications Open (est.)</t>
  </si>
  <si>
    <t>Skipped</t>
  </si>
  <si>
    <t>Application Sprint End</t>
  </si>
  <si>
    <t>Blocked</t>
  </si>
  <si>
    <t>Today</t>
  </si>
  <si>
    <t>How this planner works</t>
  </si>
  <si>
    <t>1. Open Daily Log every evening, log hours by category. Takes 60 seconds.</t>
  </si>
  <si>
    <t>2. Update ARIS Tasks status as you tick them off. Dashboard auto-updates.</t>
  </si>
  <si>
    <t>3. Update DSA Tracker after each problem solved.</t>
  </si>
  <si>
    <t>4. Resources sheet — log hours and mark Done when verified.</t>
  </si>
  <si>
    <t>5. Applications sheet — log every application Sept onwards.</t>
  </si>
  <si>
    <t>6. Networking sheet — log every outreach + reply.</t>
  </si>
  <si>
    <t>7. Press F9 (or Ctrl+Shift+F9) to recalculate if numbers look stale.</t>
  </si>
  <si>
    <t>8. Charts on Dashboard auto-pull from underlying sheets.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</si>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</sst>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15" x14ac:knownFonts="1">
    <font>
      <sz val="11"/>
      <color theme="1"/>
      <name val="Calibri"/>
      <family val="2"/>
      <charset val="1"/>
    </font>
    <font>
      <b/>
      <sz val="18"/>
      <color rgb="FF1F2E4D"/>
      <name val="Calibri"/>
      <charset val="1"/>
    </font>
    <font>
      <i/>
      <sz val="10"/>
      <color rgb="FF374151"/>
      <name val="Calibri"/>
      <charset val="1"/>
    </font>
    <font>
      <b/>
      <sz val="11"/>
      <color rgb="FF1F2E4D"/>
      <name val="Cambria"/>
      <charset val="1"/>
    </font>
    <font>
      <b/>
      <sz val="10"/>
      <color rgb="FFFFFFFF"/>
      <name val="Calibri"/>
      <charset val="1"/>
    </font>
    <font>
      <b/>
      <sz val="11"/>
      <color rgb="FFFFFFFF"/>
      <name val="Calibri"/>
      <charset val="1"/>
    </font>
    <font>
      <b/>
      <sz val="20"/>
      <color rgb="FF1F2E4D"/>
      <name val="Calibri"/>
      <charset val="1"/>
    </font>
    <font>
      <sz val="10"/>
      <name val="Calibri"/>
      <charset val="1"/>
    </font>
    <font>
      <b/>
      <sz val="14"/>
      <color rgb="FF1F2E4D"/>
      <name val="Cambria"/>
      <charset val="1"/>
    </font>
    <font>
      <b/>
      <sz val="11"/>
      <name val="Cambria"/>
      <charset val="1"/>
    </font>
    <font>
      <b/>
      <sz val="12"/>
      <color rgb="FF1F2E4D"/>
      <name val="Cambria"/>
      <charset val="1"/>
    </font>
    <font>
      <sz val="10"/>
      <color rgb="FF374151"/>
      <name val="Cambria"/>
      <charset val="1"/>
    </font>
    <font>
      <b/>
      <sz val="14"/>
      <color rgb="FF1F2E4D"/>
      <name val="Calibri"/>
      <charset val="1"/>
    </font>
    <font>
      <b/>
      <sz val="10"/>
      <name val="Calibri"/>
      <charset val="1"/>
    </font>
    <font>
      <sz val="10"/>
      <color rgb="FF374151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1F2E4D"/>
        <bgColor rgb="FF003366"/>
      </patternFill>
    </fill>
    <fill>
      <patternFill patternType="solid">
        <fgColor rgb="FFF3F4F6"/>
        <bgColor rgb="FFF9F9F9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4" fillId="0" borderId="0" xfId="0" applyFont="1"/>
    <xf numFmtId="0" fontId="12" fillId="0" borderId="0" xfId="0" applyFont="1"/>
    <xf numFmtId="0" fontId="11" fillId="0" borderId="0" xfId="0" applyFont="1"/>
    <xf numFmtId="0" fontId="0" fillId="0" borderId="0" xfId="0"/>
    <xf numFmtId="0" fontId="8" fillId="0" borderId="0" xfId="0" applyFont="1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1" fontId="6" fillId="3" borderId="1" xfId="0" applyNumberFormat="1" applyFont="1" applyFill="1" applyBorder="1" applyAlignment="1">
      <alignment horizontal="center" vertical="center"/>
    </xf>
    <xf numFmtId="9" fontId="6" fillId="3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164" fontId="6" fillId="3" borderId="1" xfId="0" applyNumberFormat="1" applyFont="1" applyFill="1" applyBorder="1" applyAlignment="1">
      <alignment horizontal="center" vertical="center"/>
    </xf>
    <xf numFmtId="0" fontId="9" fillId="0" borderId="0" xfId="0" applyFont="1"/>
    <xf numFmtId="9" fontId="0" fillId="0" borderId="0" xfId="0" applyNumberFormat="1"/>
    <xf numFmtId="0" fontId="10" fillId="0" borderId="0" xfId="0" applyFont="1"/>
    <xf numFmtId="165" fontId="7" fillId="0" borderId="1" xfId="0" applyNumberFormat="1" applyFont="1" applyBorder="1" applyAlignment="1">
      <alignment horizontal="center" vertical="center" wrapText="1"/>
    </xf>
    <xf numFmtId="9" fontId="7" fillId="0" borderId="1" xfId="0" applyNumberFormat="1" applyFont="1" applyBorder="1" applyAlignment="1">
      <alignment horizontal="center" vertical="center" wrapText="1"/>
    </xf>
    <xf numFmtId="165" fontId="7" fillId="0" borderId="1" xfId="0" applyNumberFormat="1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7" fillId="0" borderId="1" xfId="0" quotePrefix="1" applyFont="1" applyBorder="1" applyAlignment="1">
      <alignment horizontal="center" vertical="center" wrapText="1"/>
    </xf>
  </cellXfs>
  <cellStyles count="1">
    <cellStyle name="Normal" xfId="0" builtinId="0"/>
  </cellStyles>
  <dxfs count="34">
    <dxf>
      <fill>
        <patternFill>
          <bgColor rgb="FFFEE2E2"/>
        </patternFill>
      </fill>
    </dxf>
    <dxf>
      <font>
        <b/>
        <color rgb="FF065F46"/>
      </font>
      <fill>
        <patternFill>
          <bgColor rgb="FFD1FAE5"/>
        </patternFill>
      </fill>
    </dxf>
    <dxf>
      <font>
        <b/>
        <color rgb="FF991B1B"/>
      </font>
      <fill>
        <patternFill>
          <bgColor rgb="FFFEE2E2"/>
        </patternFill>
      </fill>
    </dxf>
    <dxf>
      <fill>
        <patternFill>
          <bgColor rgb="FFF3F4F6"/>
        </patternFill>
      </fill>
    </dxf>
    <dxf>
      <fill>
        <patternFill>
          <bgColor rgb="FFF3F4F6"/>
        </patternFill>
      </fill>
    </dxf>
    <dxf>
      <fill>
        <patternFill>
          <bgColor rgb="FFFEE2E2"/>
        </patternFill>
      </fill>
    </dxf>
    <dxf>
      <font>
        <b/>
      </font>
      <fill>
        <patternFill>
          <bgColor rgb="FFD1FAE5"/>
        </patternFill>
      </fill>
    </dxf>
    <dxf>
      <font>
        <b/>
      </font>
      <fill>
        <patternFill>
          <bgColor rgb="FFDDD6FE"/>
        </patternFill>
      </fill>
    </dxf>
    <dxf>
      <font>
        <b/>
      </font>
      <fill>
        <patternFill>
          <bgColor rgb="FFFED7AA"/>
        </patternFill>
      </fill>
    </dxf>
    <dxf>
      <fill>
        <patternFill>
          <bgColor rgb="FFFEF3C7"/>
        </patternFill>
      </fill>
    </dxf>
    <dxf>
      <fill>
        <patternFill>
          <bgColor rgb="FFFEF3C7"/>
        </patternFill>
      </fill>
    </dxf>
    <dxf>
      <fill>
        <patternFill>
          <bgColor rgb="FFDBEAFE"/>
        </patternFill>
      </fill>
    </dxf>
    <dxf>
      <fill>
        <patternFill>
          <bgColor rgb="FFDBEAFE"/>
        </patternFill>
      </fill>
    </dxf>
    <dxf>
      <fill>
        <patternFill>
          <bgColor rgb="FFF3F4F6"/>
        </patternFill>
      </fill>
    </dxf>
    <dxf>
      <font>
        <b/>
        <color rgb="FF1E40AF"/>
      </font>
      <fill>
        <patternFill>
          <bgColor rgb="FFDBEAFE"/>
        </patternFill>
      </fill>
    </dxf>
    <dxf>
      <font>
        <b/>
        <color rgb="FF065F46"/>
      </font>
      <fill>
        <patternFill>
          <bgColor rgb="FFD1FAE5"/>
        </patternFill>
      </fill>
    </dxf>
    <dxf>
      <font>
        <b/>
      </font>
      <fill>
        <patternFill>
          <bgColor rgb="FFFEF3C7"/>
        </patternFill>
      </fill>
    </dxf>
    <dxf>
      <font>
        <b/>
        <color rgb="FF1E40AF"/>
      </font>
      <fill>
        <patternFill>
          <bgColor rgb="FFDBEAFE"/>
        </patternFill>
      </fill>
    </dxf>
    <dxf>
      <font>
        <b/>
        <color rgb="FF065F46"/>
      </font>
      <fill>
        <patternFill>
          <bgColor rgb="FFD1FAE5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1FAE5"/>
        </patternFill>
      </fill>
    </dxf>
    <dxf>
      <font>
        <i/>
        <color rgb="FF6B7280"/>
      </font>
      <fill>
        <patternFill>
          <bgColor rgb="FFF3F4F6"/>
        </patternFill>
      </fill>
    </dxf>
    <dxf>
      <font>
        <b/>
        <color rgb="FF991B1B"/>
      </font>
      <fill>
        <patternFill>
          <bgColor rgb="FFFEE2E2"/>
        </patternFill>
      </fill>
    </dxf>
    <dxf>
      <font>
        <b/>
        <color rgb="FF1E40AF"/>
      </font>
      <fill>
        <patternFill>
          <bgColor rgb="FFDBEAFE"/>
        </patternFill>
      </fill>
    </dxf>
    <dxf>
      <font>
        <b/>
        <color rgb="FF065F46"/>
      </font>
      <fill>
        <patternFill>
          <bgColor rgb="FFD1FAE5"/>
        </patternFill>
      </fill>
    </dxf>
    <dxf>
      <font>
        <color rgb="FF1E40AF"/>
      </font>
      <fill>
        <patternFill>
          <bgColor rgb="FFDBEAFE"/>
        </patternFill>
      </fill>
    </dxf>
    <dxf>
      <font>
        <b/>
        <color rgb="FF92400E"/>
      </font>
      <fill>
        <patternFill>
          <bgColor rgb="FFFEF3C7"/>
        </patternFill>
      </fill>
    </dxf>
    <dxf>
      <fill>
        <patternFill>
          <bgColor rgb="FFFEE2E2"/>
        </patternFill>
      </fill>
    </dxf>
    <dxf>
      <fill>
        <patternFill>
          <bgColor rgb="FFD1FAE5"/>
        </patternFill>
      </fill>
    </dxf>
    <dxf>
      <fill>
        <patternFill>
          <bgColor rgb="FFF3F4F6"/>
        </patternFill>
      </fill>
    </dxf>
    <dxf>
      <fill>
        <patternFill>
          <bgColor rgb="FFFEE2E2"/>
        </patternFill>
      </fill>
    </dxf>
    <dxf>
      <fill>
        <patternFill>
          <bgColor rgb="FFDBEAFE"/>
        </patternFill>
      </fill>
    </dxf>
    <dxf>
      <fill>
        <patternFill>
          <bgColor rgb="FFD1FAE5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1B1B"/>
      <rgbColor rgb="FF008000"/>
      <rgbColor rgb="FF000080"/>
      <rgbColor rgb="FF6B7280"/>
      <rgbColor rgb="FF800080"/>
      <rgbColor rgb="FF065F46"/>
      <rgbColor rgb="FFD1D5DB"/>
      <rgbColor rgb="FF878787"/>
      <rgbColor rgb="FF93A9CE"/>
      <rgbColor rgb="FFAB4744"/>
      <rgbColor rgb="FFFEF3C7"/>
      <rgbColor rgb="FFDBEAFE"/>
      <rgbColor rgb="FF660066"/>
      <rgbColor rgb="FFDC853E"/>
      <rgbColor rgb="FF0066CC"/>
      <rgbColor rgb="FFDDD6FE"/>
      <rgbColor rgb="FF000080"/>
      <rgbColor rgb="FFFF00FF"/>
      <rgbColor rgb="FFFFFF00"/>
      <rgbColor rgb="FF00FFFF"/>
      <rgbColor rgb="FF800080"/>
      <rgbColor rgb="FF800000"/>
      <rgbColor rgb="FF4F81BD"/>
      <rgbColor rgb="FF0000FF"/>
      <rgbColor rgb="FF00CCFF"/>
      <rgbColor rgb="FFF3F4F6"/>
      <rgbColor rgb="FFD1FAE5"/>
      <rgbColor rgb="FFF9F9F9"/>
      <rgbColor rgb="FFD9D9D9"/>
      <rgbColor rgb="FFFEE2E2"/>
      <rgbColor rgb="FFCC99FF"/>
      <rgbColor rgb="FFFED7AA"/>
      <rgbColor rgb="FF4672A8"/>
      <rgbColor rgb="FF33CCCC"/>
      <rgbColor rgb="FF9BBB59"/>
      <rgbColor rgb="FFFFCC00"/>
      <rgbColor rgb="FFFF9900"/>
      <rgbColor rgb="FFFF6600"/>
      <rgbColor rgb="FF725990"/>
      <rgbColor rgb="FF8AA64F"/>
      <rgbColor rgb="FF003366"/>
      <rgbColor rgb="FF4299B0"/>
      <rgbColor rgb="FF003300"/>
      <rgbColor rgb="FF374151"/>
      <rgbColor rgb="FF92400E"/>
      <rgbColor rgb="FFC0504D"/>
      <rgbColor rgb="FF1E40AF"/>
      <rgbColor rgb="FF1F2E4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ARIS Phase Progress (Done vs Total)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Dashboard!$K$4</c:f>
              <c:strCache>
                <c:ptCount val="1"/>
                <c:pt idx="0">
                  <c:v>Done</c:v>
                </c:pt>
              </c:strCache>
            </c:strRef>
          </c:tx>
          <c:spPr>
            <a:solidFill>
              <a:srgbClr val="4672A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Dashboard!$J$5:$J$13</c:f>
              <c:strCache>
                <c:ptCount val="9"/>
                <c:pt idx="0">
                  <c:v>Phase 0</c:v>
                </c:pt>
                <c:pt idx="1">
                  <c:v>Phase 1</c:v>
                </c:pt>
                <c:pt idx="2">
                  <c:v>Phase 2</c:v>
                </c:pt>
                <c:pt idx="3">
                  <c:v>Phase 3</c:v>
                </c:pt>
                <c:pt idx="4">
                  <c:v>Phase 4</c:v>
                </c:pt>
                <c:pt idx="5">
                  <c:v>Phase 5</c:v>
                </c:pt>
                <c:pt idx="6">
                  <c:v>Phase 6</c:v>
                </c:pt>
                <c:pt idx="7">
                  <c:v>Phase 7</c:v>
                </c:pt>
                <c:pt idx="8">
                  <c:v>Phase 8</c:v>
                </c:pt>
              </c:strCache>
            </c:strRef>
          </c:cat>
          <c:val>
            <c:numRef>
              <c:f>Dashboard!$K$5:$K$13</c:f>
              <c:numCache>
                <c:formatCode>General</c:formatCode>
                <c:ptCount val="9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D9-4DC4-B483-DF9E11F5E96D}"/>
            </c:ext>
          </c:extLst>
        </c:ser>
        <c:ser>
          <c:idx val="1"/>
          <c:order val="1"/>
          <c:tx>
            <c:strRef>
              <c:f>Dashboard!$L$4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3A9CE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Dashboard!$J$5:$J$13</c:f>
              <c:strCache>
                <c:ptCount val="9"/>
                <c:pt idx="0">
                  <c:v>Phase 0</c:v>
                </c:pt>
                <c:pt idx="1">
                  <c:v>Phase 1</c:v>
                </c:pt>
                <c:pt idx="2">
                  <c:v>Phase 2</c:v>
                </c:pt>
                <c:pt idx="3">
                  <c:v>Phase 3</c:v>
                </c:pt>
                <c:pt idx="4">
                  <c:v>Phase 4</c:v>
                </c:pt>
                <c:pt idx="5">
                  <c:v>Phase 5</c:v>
                </c:pt>
                <c:pt idx="6">
                  <c:v>Phase 6</c:v>
                </c:pt>
                <c:pt idx="7">
                  <c:v>Phase 7</c:v>
                </c:pt>
                <c:pt idx="8">
                  <c:v>Phase 8</c:v>
                </c:pt>
              </c:strCache>
            </c:strRef>
          </c:cat>
          <c:val>
            <c:numRef>
              <c:f>Dashboard!$L$5:$L$13</c:f>
              <c:numCache>
                <c:formatCode>General</c:formatCode>
                <c:ptCount val="9"/>
                <c:pt idx="0">
                  <c:v>21</c:v>
                </c:pt>
                <c:pt idx="1">
                  <c:v>13</c:v>
                </c:pt>
                <c:pt idx="2">
                  <c:v>12</c:v>
                </c:pt>
                <c:pt idx="3">
                  <c:v>18</c:v>
                </c:pt>
                <c:pt idx="4">
                  <c:v>9</c:v>
                </c:pt>
                <c:pt idx="5">
                  <c:v>9</c:v>
                </c:pt>
                <c:pt idx="6">
                  <c:v>9</c:v>
                </c:pt>
                <c:pt idx="7">
                  <c:v>11</c:v>
                </c:pt>
                <c:pt idx="8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D9-4DC4-B483-DF9E11F5E9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95103"/>
        <c:axId val="38053610"/>
      </c:barChart>
      <c:catAx>
        <c:axId val="1795103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Tasks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8053610"/>
        <c:crosses val="autoZero"/>
        <c:auto val="1"/>
        <c:lblAlgn val="ctr"/>
        <c:lblOffset val="100"/>
        <c:noMultiLvlLbl val="0"/>
      </c:catAx>
      <c:valAx>
        <c:axId val="3805361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79510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Time Allocation This Week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Dashboard!$O$4</c:f>
              <c:strCache>
                <c:ptCount val="1"/>
                <c:pt idx="0">
                  <c:v>Hours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672A8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6685-485E-A631-BC3268761F9E}"/>
              </c:ext>
            </c:extLst>
          </c:dPt>
          <c:dPt>
            <c:idx val="1"/>
            <c:bubble3D val="0"/>
            <c:spPr>
              <a:solidFill>
                <a:srgbClr val="AB474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6685-485E-A631-BC3268761F9E}"/>
              </c:ext>
            </c:extLst>
          </c:dPt>
          <c:dPt>
            <c:idx val="2"/>
            <c:bubble3D val="0"/>
            <c:spPr>
              <a:solidFill>
                <a:srgbClr val="8AA64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6685-485E-A631-BC3268761F9E}"/>
              </c:ext>
            </c:extLst>
          </c:dPt>
          <c:dPt>
            <c:idx val="3"/>
            <c:bubble3D val="0"/>
            <c:spPr>
              <a:solidFill>
                <a:srgbClr val="72599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6685-485E-A631-BC3268761F9E}"/>
              </c:ext>
            </c:extLst>
          </c:dPt>
          <c:dPt>
            <c:idx val="4"/>
            <c:bubble3D val="0"/>
            <c:spPr>
              <a:solidFill>
                <a:srgbClr val="4299B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6685-485E-A631-BC3268761F9E}"/>
              </c:ext>
            </c:extLst>
          </c:dPt>
          <c:dPt>
            <c:idx val="5"/>
            <c:bubble3D val="0"/>
            <c:spPr>
              <a:solidFill>
                <a:srgbClr val="DC853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6685-485E-A631-BC3268761F9E}"/>
              </c:ext>
            </c:extLst>
          </c:dPt>
          <c:dPt>
            <c:idx val="6"/>
            <c:bubble3D val="0"/>
            <c:spPr>
              <a:solidFill>
                <a:srgbClr val="93A9C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6685-485E-A631-BC3268761F9E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6685-485E-A631-BC3268761F9E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6685-485E-A631-BC3268761F9E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5549785618186621"/>
                      <c:h val="0.2054856195240181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6685-485E-A631-BC3268761F9E}"/>
                </c:ext>
              </c:extLst>
            </c:dLbl>
            <c:dLbl>
              <c:idx val="3"/>
              <c:layout>
                <c:manualLayout>
                  <c:x val="-0.28168250002000361"/>
                  <c:y val="0.16795653075179179"/>
                </c:manualLayout>
              </c:layout>
              <c:tx>
                <c:rich>
                  <a:bodyPr wrap="square"/>
                  <a:lstStyle/>
                  <a:p>
                    <a:pPr>
                      <a:defRPr sz="1000" b="0" strike="noStrike" spc="-1">
                        <a:solidFill>
                          <a:srgbClr val="000000"/>
                        </a:solidFill>
                        <a:latin typeface="Calibri"/>
                      </a:defRPr>
                    </a:pPr>
                    <a:fld id="{AB6C7298-899E-4992-A11C-F878F83B2E98}" type="SERIESNAME">
                      <a:rPr lang="en-US" sz="700"/>
                      <a:pPr>
                        <a:defRPr sz="1000" b="0" strike="noStrike" spc="-1">
                          <a:solidFill>
                            <a:srgbClr val="000000"/>
                          </a:solidFill>
                          <a:latin typeface="Calibri"/>
                        </a:defRPr>
                      </a:pPr>
                      <a:t>[SERIES NAME]</a:t>
                    </a:fld>
                    <a:r>
                      <a:rPr lang="en-US" sz="700" baseline="0"/>
                      <a:t>; </a:t>
                    </a:r>
                    <a:fld id="{80C765AE-B830-4CE6-A3EC-6488BFC7CBFF}" type="CATEGORYNAME">
                      <a:rPr lang="en-US" sz="700" baseline="0"/>
                      <a:pPr>
                        <a:defRPr sz="1000" b="0" strike="noStrike" spc="-1">
                          <a:solidFill>
                            <a:srgbClr val="000000"/>
                          </a:solidFill>
                          <a:latin typeface="Calibri"/>
                        </a:defRPr>
                      </a:pPr>
                      <a:t>[CATEGORY NAME]</a:t>
                    </a:fld>
                    <a:r>
                      <a:rPr lang="en-US" sz="700" baseline="0"/>
                      <a:t>; </a:t>
                    </a:r>
                    <a:fld id="{0B402E85-C9BB-4570-9DDA-E50BBFFD7EDF}" type="VALUE">
                      <a:rPr lang="en-US" sz="700" baseline="0"/>
                      <a:pPr>
                        <a:defRPr sz="1000" b="0" strike="noStrike" spc="-1">
                          <a:solidFill>
                            <a:srgbClr val="000000"/>
                          </a:solidFill>
                          <a:latin typeface="Calibri"/>
                        </a:defRPr>
                      </a:pPr>
                      <a:t>[VALUE]</a:t>
                    </a:fld>
                    <a:r>
                      <a:rPr lang="en-US" sz="700" baseline="0"/>
                      <a:t>; </a:t>
                    </a:r>
                    <a:fld id="{FDCA7999-7BC8-4893-B86A-2F32E3F57A4B}" type="PERCENTAGE">
                      <a:rPr lang="en-US" sz="700" baseline="0"/>
                      <a:pPr>
                        <a:defRPr sz="1000" b="0" strike="noStrike" spc="-1">
                          <a:solidFill>
                            <a:srgbClr val="000000"/>
                          </a:solidFill>
                          <a:latin typeface="Calibri"/>
                        </a:defRPr>
                      </a:pPr>
                      <a:t>[PERCENTAGE]</a:t>
                    </a:fld>
                    <a:endParaRPr lang="en-US" sz="700" baseline="0"/>
                  </a:p>
                </c:rich>
              </c:tx>
              <c:spPr/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6685-485E-A631-BC3268761F9E}"/>
                </c:ext>
              </c:extLst>
            </c:dLbl>
            <c:dLbl>
              <c:idx val="4"/>
              <c:layout>
                <c:manualLayout>
                  <c:x val="0.17666844603762277"/>
                  <c:y val="0.13224960362981605"/>
                </c:manualLayout>
              </c:layout>
              <c:tx>
                <c:rich>
                  <a:bodyPr wrap="square"/>
                  <a:lstStyle/>
                  <a:p>
                    <a:pPr>
                      <a:defRPr sz="1000" b="0" strike="noStrike" spc="-1">
                        <a:solidFill>
                          <a:srgbClr val="000000"/>
                        </a:solidFill>
                        <a:latin typeface="Calibri"/>
                      </a:defRPr>
                    </a:pPr>
                    <a:fld id="{A9B67B3D-BD0E-4583-A6D5-C4C9EC44E3B0}" type="SERIESNAME">
                      <a:rPr lang="en-US" sz="700"/>
                      <a:pPr>
                        <a:defRPr sz="1000" b="0" strike="noStrike" spc="-1">
                          <a:solidFill>
                            <a:srgbClr val="000000"/>
                          </a:solidFill>
                          <a:latin typeface="Calibri"/>
                        </a:defRPr>
                      </a:pPr>
                      <a:t>[SERIES NAME]</a:t>
                    </a:fld>
                    <a:r>
                      <a:rPr lang="en-US" sz="700" baseline="0"/>
                      <a:t>; </a:t>
                    </a:r>
                    <a:fld id="{0129B1FB-BAAF-4010-AE7B-A6EF6994756F}" type="CATEGORYNAME">
                      <a:rPr lang="en-US" sz="700" baseline="0"/>
                      <a:pPr>
                        <a:defRPr sz="1000" b="0" strike="noStrike" spc="-1">
                          <a:solidFill>
                            <a:srgbClr val="000000"/>
                          </a:solidFill>
                          <a:latin typeface="Calibri"/>
                        </a:defRPr>
                      </a:pPr>
                      <a:t>[CATEGORY NAME]</a:t>
                    </a:fld>
                    <a:r>
                      <a:rPr lang="en-US" sz="700" baseline="0"/>
                      <a:t>; </a:t>
                    </a:r>
                    <a:fld id="{E81B5C45-1B53-46D4-8D38-92DA354031C1}" type="VALUE">
                      <a:rPr lang="en-US" sz="700" baseline="0"/>
                      <a:pPr>
                        <a:defRPr sz="1000" b="0" strike="noStrike" spc="-1">
                          <a:solidFill>
                            <a:srgbClr val="000000"/>
                          </a:solidFill>
                          <a:latin typeface="Calibri"/>
                        </a:defRPr>
                      </a:pPr>
                      <a:t>[VALUE]</a:t>
                    </a:fld>
                    <a:r>
                      <a:rPr lang="en-US" sz="700" baseline="0"/>
                      <a:t>; </a:t>
                    </a:r>
                    <a:fld id="{B3CFDC8C-FE21-4A21-9AEE-F6D7E7405A13}" type="PERCENTAGE">
                      <a:rPr lang="en-US" sz="700" baseline="0"/>
                      <a:pPr>
                        <a:defRPr sz="1000" b="0" strike="noStrike" spc="-1">
                          <a:solidFill>
                            <a:srgbClr val="000000"/>
                          </a:solidFill>
                          <a:latin typeface="Calibri"/>
                        </a:defRPr>
                      </a:pPr>
                      <a:t>[PERCENTAGE]</a:t>
                    </a:fld>
                    <a:endParaRPr lang="en-US" sz="700" baseline="0"/>
                  </a:p>
                </c:rich>
              </c:tx>
              <c:spPr/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9-6685-485E-A631-BC3268761F9E}"/>
                </c:ext>
              </c:extLst>
            </c:dLbl>
            <c:dLbl>
              <c:idx val="5"/>
              <c:layout>
                <c:manualLayout>
                  <c:x val="-0.25412114887162351"/>
                  <c:y val="0.29288590948158744"/>
                </c:manualLayout>
              </c:layout>
              <c:tx>
                <c:rich>
                  <a:bodyPr wrap="square"/>
                  <a:lstStyle/>
                  <a:p>
                    <a:pPr>
                      <a:defRPr sz="1000" b="0" strike="noStrike" spc="-1">
                        <a:solidFill>
                          <a:srgbClr val="000000"/>
                        </a:solidFill>
                        <a:latin typeface="Calibri"/>
                      </a:defRPr>
                    </a:pPr>
                    <a:fld id="{EBAFAD6D-EAFE-40F8-A920-A88D8CCF6F31}" type="SERIESNAME">
                      <a:rPr lang="en-US" sz="700"/>
                      <a:pPr>
                        <a:defRPr sz="1000" b="0" strike="noStrike" spc="-1">
                          <a:solidFill>
                            <a:srgbClr val="000000"/>
                          </a:solidFill>
                          <a:latin typeface="Calibri"/>
                        </a:defRPr>
                      </a:pPr>
                      <a:t>[SERIES NAME]</a:t>
                    </a:fld>
                    <a:r>
                      <a:rPr lang="en-US" sz="700" baseline="0"/>
                      <a:t>; </a:t>
                    </a:r>
                    <a:fld id="{65B5797B-DC41-4A0A-8FF2-887D6E443A4E}" type="CATEGORYNAME">
                      <a:rPr lang="en-US" sz="700" baseline="0"/>
                      <a:pPr>
                        <a:defRPr sz="1000" b="0" strike="noStrike" spc="-1">
                          <a:solidFill>
                            <a:srgbClr val="000000"/>
                          </a:solidFill>
                          <a:latin typeface="Calibri"/>
                        </a:defRPr>
                      </a:pPr>
                      <a:t>[CATEGORY NAME]</a:t>
                    </a:fld>
                    <a:r>
                      <a:rPr lang="en-US" sz="700" baseline="0"/>
                      <a:t>; </a:t>
                    </a:r>
                    <a:fld id="{1AF37B96-7196-42CE-9C78-E0902813B8DE}" type="VALUE">
                      <a:rPr lang="en-US" sz="700" baseline="0"/>
                      <a:pPr>
                        <a:defRPr sz="1000" b="0" strike="noStrike" spc="-1">
                          <a:solidFill>
                            <a:srgbClr val="000000"/>
                          </a:solidFill>
                          <a:latin typeface="Calibri"/>
                        </a:defRPr>
                      </a:pPr>
                      <a:t>[VALUE]</a:t>
                    </a:fld>
                    <a:r>
                      <a:rPr lang="en-US" sz="700" baseline="0"/>
                      <a:t>; </a:t>
                    </a:r>
                    <a:fld id="{A4440678-EF3C-4D24-8E82-58C54F2B48C1}" type="PERCENTAGE">
                      <a:rPr lang="en-US" sz="700" baseline="0"/>
                      <a:pPr>
                        <a:defRPr sz="1000" b="0" strike="noStrike" spc="-1">
                          <a:solidFill>
                            <a:srgbClr val="000000"/>
                          </a:solidFill>
                          <a:latin typeface="Calibri"/>
                        </a:defRPr>
                      </a:pPr>
                      <a:t>[PERCENTAGE]</a:t>
                    </a:fld>
                    <a:endParaRPr lang="en-US" sz="700" baseline="0"/>
                  </a:p>
                </c:rich>
              </c:tx>
              <c:spPr/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B-6685-485E-A631-BC3268761F9E}"/>
                </c:ext>
              </c:extLst>
            </c:dLbl>
            <c:dLbl>
              <c:idx val="6"/>
              <c:layout>
                <c:manualLayout>
                  <c:x val="1.0449555976457437E-2"/>
                  <c:y val="0.19830265079497586"/>
                </c:manualLayout>
              </c:layout>
              <c:tx>
                <c:rich>
                  <a:bodyPr wrap="square"/>
                  <a:lstStyle/>
                  <a:p>
                    <a:pPr>
                      <a:defRPr sz="1000" b="0" strike="noStrike" spc="-1">
                        <a:solidFill>
                          <a:srgbClr val="000000"/>
                        </a:solidFill>
                        <a:latin typeface="Calibri"/>
                      </a:defRPr>
                    </a:pPr>
                    <a:fld id="{157DE4F7-7520-49C3-98EA-80F7810BD157}" type="SERIESNAME">
                      <a:rPr lang="en-US" sz="700"/>
                      <a:pPr>
                        <a:defRPr sz="1000" b="0" strike="noStrike" spc="-1">
                          <a:solidFill>
                            <a:srgbClr val="000000"/>
                          </a:solidFill>
                          <a:latin typeface="Calibri"/>
                        </a:defRPr>
                      </a:pPr>
                      <a:t>[SERIES NAME]</a:t>
                    </a:fld>
                    <a:r>
                      <a:rPr lang="en-US" sz="700" baseline="0"/>
                      <a:t>; </a:t>
                    </a:r>
                    <a:fld id="{E151F573-4006-4A82-94F9-623116BEB69C}" type="CATEGORYNAME">
                      <a:rPr lang="en-US" sz="700" baseline="0"/>
                      <a:pPr>
                        <a:defRPr sz="1000" b="0" strike="noStrike" spc="-1">
                          <a:solidFill>
                            <a:srgbClr val="000000"/>
                          </a:solidFill>
                          <a:latin typeface="Calibri"/>
                        </a:defRPr>
                      </a:pPr>
                      <a:t>[CATEGORY NAME]</a:t>
                    </a:fld>
                    <a:r>
                      <a:rPr lang="en-US" sz="700" baseline="0"/>
                      <a:t>; </a:t>
                    </a:r>
                    <a:fld id="{3C04CEDE-FAE2-4320-9A07-97536F0C8107}" type="VALUE">
                      <a:rPr lang="en-US" sz="700" baseline="0"/>
                      <a:pPr>
                        <a:defRPr sz="1000" b="0" strike="noStrike" spc="-1">
                          <a:solidFill>
                            <a:srgbClr val="000000"/>
                          </a:solidFill>
                          <a:latin typeface="Calibri"/>
                        </a:defRPr>
                      </a:pPr>
                      <a:t>[VALUE]</a:t>
                    </a:fld>
                    <a:r>
                      <a:rPr lang="en-US" sz="700" baseline="0"/>
                      <a:t>; </a:t>
                    </a:r>
                    <a:fld id="{D80C9FE8-8E65-4A46-BEF8-EA52506DBBCD}" type="PERCENTAGE">
                      <a:rPr lang="en-US" sz="700" baseline="0"/>
                      <a:pPr>
                        <a:defRPr sz="1000" b="0" strike="noStrike" spc="-1">
                          <a:solidFill>
                            <a:srgbClr val="000000"/>
                          </a:solidFill>
                          <a:latin typeface="Calibri"/>
                        </a:defRPr>
                      </a:pPr>
                      <a:t>[PERCENTAGE]</a:t>
                    </a:fld>
                    <a:endParaRPr lang="en-US" sz="700" baseline="0"/>
                  </a:p>
                </c:rich>
              </c:tx>
              <c:spPr/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D-6685-485E-A631-BC3268761F9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Dashboard!$N$5:$N$11</c:f>
              <c:strCache>
                <c:ptCount val="7"/>
                <c:pt idx="0">
                  <c:v>ARIS</c:v>
                </c:pt>
                <c:pt idx="1">
                  <c:v>DSA</c:v>
                </c:pt>
                <c:pt idx="2">
                  <c:v>App Tool</c:v>
                </c:pt>
                <c:pt idx="3">
                  <c:v>Networking</c:v>
                </c:pt>
                <c:pt idx="4">
                  <c:v>Writing</c:v>
                </c:pt>
                <c:pt idx="5">
                  <c:v>Resources</c:v>
                </c:pt>
                <c:pt idx="6">
                  <c:v>Other</c:v>
                </c:pt>
              </c:strCache>
            </c:strRef>
          </c:cat>
          <c:val>
            <c:numRef>
              <c:f>Dashboard!$O$5:$O$11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685-485E-A631-BC3268761F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DSA Problems Done by Pattern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Dashboard!$R$4</c:f>
              <c:strCache>
                <c:ptCount val="1"/>
                <c:pt idx="0">
                  <c:v>Done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Dashboard!$Q$5:$Q$22</c:f>
              <c:strCache>
                <c:ptCount val="18"/>
                <c:pt idx="0">
                  <c:v>Arrays &amp; Hashing</c:v>
                </c:pt>
                <c:pt idx="1">
                  <c:v>Two Pointers</c:v>
                </c:pt>
                <c:pt idx="2">
                  <c:v>Sliding Window</c:v>
                </c:pt>
                <c:pt idx="3">
                  <c:v>Stack</c:v>
                </c:pt>
                <c:pt idx="4">
                  <c:v>Binary Search</c:v>
                </c:pt>
                <c:pt idx="5">
                  <c:v>Linked List</c:v>
                </c:pt>
                <c:pt idx="6">
                  <c:v>Trees</c:v>
                </c:pt>
                <c:pt idx="7">
                  <c:v>Tries</c:v>
                </c:pt>
                <c:pt idx="8">
                  <c:v>Heap</c:v>
                </c:pt>
                <c:pt idx="9">
                  <c:v>Backtracking</c:v>
                </c:pt>
                <c:pt idx="10">
                  <c:v>Graphs</c:v>
                </c:pt>
                <c:pt idx="11">
                  <c:v>Advanced Graphs</c:v>
                </c:pt>
                <c:pt idx="12">
                  <c:v>1-D DP</c:v>
                </c:pt>
                <c:pt idx="13">
                  <c:v>2-D DP</c:v>
                </c:pt>
                <c:pt idx="14">
                  <c:v>Greedy</c:v>
                </c:pt>
                <c:pt idx="15">
                  <c:v>Intervals</c:v>
                </c:pt>
                <c:pt idx="16">
                  <c:v>Math &amp; Geometry</c:v>
                </c:pt>
                <c:pt idx="17">
                  <c:v>Bit Manipulation</c:v>
                </c:pt>
              </c:strCache>
            </c:strRef>
          </c:cat>
          <c:val>
            <c:numRef>
              <c:f>Dashboard!$R$5:$R$22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D9-4401-BF60-DD5856CCC7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50738"/>
        <c:axId val="14888871"/>
      </c:barChart>
      <c:catAx>
        <c:axId val="6750738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4888871"/>
        <c:crosses val="autoZero"/>
        <c:auto val="1"/>
        <c:lblAlgn val="ctr"/>
        <c:lblOffset val="100"/>
        <c:noMultiLvlLbl val="0"/>
      </c:catAx>
      <c:valAx>
        <c:axId val="1488887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75073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Application Funnel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Dashboard!$U$4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Dashboard!$T$5:$T$9</c:f>
              <c:strCache>
                <c:ptCount val="5"/>
                <c:pt idx="0">
                  <c:v>Applied+</c:v>
                </c:pt>
                <c:pt idx="1">
                  <c:v>OA Stage+</c:v>
                </c:pt>
                <c:pt idx="2">
                  <c:v>Phone+</c:v>
                </c:pt>
                <c:pt idx="3">
                  <c:v>Final+</c:v>
                </c:pt>
                <c:pt idx="4">
                  <c:v>Offers</c:v>
                </c:pt>
              </c:strCache>
            </c:strRef>
          </c:cat>
          <c:val>
            <c:numRef>
              <c:f>Dashboard!$U$5:$U$9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FF-4B47-949B-60A5F96319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488553"/>
        <c:axId val="30166371"/>
      </c:barChart>
      <c:catAx>
        <c:axId val="4448855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0166371"/>
        <c:crosses val="autoZero"/>
        <c:auto val="1"/>
        <c:lblAlgn val="ctr"/>
        <c:lblOffset val="100"/>
        <c:noMultiLvlLbl val="0"/>
      </c:catAx>
      <c:valAx>
        <c:axId val="301663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448855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Time Allocation This Week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996130408877475"/>
          <c:y val="0.2214845614946728"/>
          <c:w val="0.46783335161655987"/>
          <c:h val="0.68002459980759122"/>
        </c:manualLayout>
      </c:layout>
      <c:pieChart>
        <c:varyColors val="1"/>
        <c:ser>
          <c:idx val="0"/>
          <c:order val="0"/>
          <c:tx>
            <c:strRef>
              <c:f>Dashboard!$O$4</c:f>
              <c:strCache>
                <c:ptCount val="1"/>
                <c:pt idx="0">
                  <c:v>Hours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672A8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6685-485E-A631-BC3268761F9E}"/>
              </c:ext>
            </c:extLst>
          </c:dPt>
          <c:dPt>
            <c:idx val="1"/>
            <c:bubble3D val="0"/>
            <c:spPr>
              <a:solidFill>
                <a:srgbClr val="AB474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6685-485E-A631-BC3268761F9E}"/>
              </c:ext>
            </c:extLst>
          </c:dPt>
          <c:dPt>
            <c:idx val="2"/>
            <c:bubble3D val="0"/>
            <c:spPr>
              <a:solidFill>
                <a:srgbClr val="8AA64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6685-485E-A631-BC3268761F9E}"/>
              </c:ext>
            </c:extLst>
          </c:dPt>
          <c:dPt>
            <c:idx val="3"/>
            <c:bubble3D val="0"/>
            <c:spPr>
              <a:solidFill>
                <a:srgbClr val="72599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6685-485E-A631-BC3268761F9E}"/>
              </c:ext>
            </c:extLst>
          </c:dPt>
          <c:dPt>
            <c:idx val="4"/>
            <c:bubble3D val="0"/>
            <c:spPr>
              <a:solidFill>
                <a:srgbClr val="4299B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6685-485E-A631-BC3268761F9E}"/>
              </c:ext>
            </c:extLst>
          </c:dPt>
          <c:dPt>
            <c:idx val="5"/>
            <c:bubble3D val="0"/>
            <c:spPr>
              <a:solidFill>
                <a:srgbClr val="DC853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6685-485E-A631-BC3268761F9E}"/>
              </c:ext>
            </c:extLst>
          </c:dPt>
          <c:dPt>
            <c:idx val="6"/>
            <c:bubble3D val="0"/>
            <c:spPr>
              <a:solidFill>
                <a:srgbClr val="93A9C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6685-485E-A631-BC3268761F9E}"/>
              </c:ext>
            </c:extLst>
          </c:dPt>
          <c:dLbls>
            <c:dLbl>
              <c:idx val="0"/>
              <c:layout>
                <c:manualLayout>
                  <c:x val="-0.30549658318760525"/>
                  <c:y val="-0.11790680274724949"/>
                </c:manualLayout>
              </c:layout>
              <c:tx>
                <c:rich>
                  <a:bodyPr wrap="square"/>
                  <a:lstStyle/>
                  <a:p>
                    <a:pPr>
                      <a:defRPr sz="1000" b="0" strike="noStrike" spc="-1">
                        <a:solidFill>
                          <a:srgbClr val="000000"/>
                        </a:solidFill>
                        <a:latin typeface="Calibri"/>
                      </a:defRPr>
                    </a:pPr>
                    <a:fld id="{348816A9-42AD-428A-A078-EC0A61383AEA}" type="SERIESNAME">
                      <a:rPr lang="en-US" sz="700"/>
                      <a:pPr>
                        <a:defRPr sz="1000" b="0" strike="noStrike" spc="-1">
                          <a:solidFill>
                            <a:srgbClr val="000000"/>
                          </a:solidFill>
                          <a:latin typeface="Calibri"/>
                        </a:defRPr>
                      </a:pPr>
                      <a:t>[SERIES NAME]</a:t>
                    </a:fld>
                    <a:r>
                      <a:rPr lang="en-US" sz="700" baseline="0"/>
                      <a:t>; </a:t>
                    </a:r>
                    <a:fld id="{5CFC3114-AB3B-42A0-AC54-E57B5BB59491}" type="CATEGORYNAME">
                      <a:rPr lang="en-US" sz="700" baseline="0"/>
                      <a:pPr>
                        <a:defRPr sz="1000" b="0" strike="noStrike" spc="-1">
                          <a:solidFill>
                            <a:srgbClr val="000000"/>
                          </a:solidFill>
                          <a:latin typeface="Calibri"/>
                        </a:defRPr>
                      </a:pPr>
                      <a:t>[CATEGORY NAME]</a:t>
                    </a:fld>
                    <a:r>
                      <a:rPr lang="en-US" sz="700" baseline="0"/>
                      <a:t>; </a:t>
                    </a:r>
                    <a:fld id="{DD04CD25-014D-48B0-9125-4F2EEE6D86EC}" type="VALUE">
                      <a:rPr lang="en-US" sz="700" baseline="0"/>
                      <a:pPr>
                        <a:defRPr sz="1000" b="0" strike="noStrike" spc="-1">
                          <a:solidFill>
                            <a:srgbClr val="000000"/>
                          </a:solidFill>
                          <a:latin typeface="Calibri"/>
                        </a:defRPr>
                      </a:pPr>
                      <a:t>[VALUE]</a:t>
                    </a:fld>
                    <a:r>
                      <a:rPr lang="en-US" sz="700" baseline="0"/>
                      <a:t>; </a:t>
                    </a:r>
                    <a:fld id="{A6F9A660-BED3-43F9-A5CC-E00391BFD6A1}" type="PERCENTAGE">
                      <a:rPr lang="en-US" sz="700" baseline="0"/>
                      <a:pPr>
                        <a:defRPr sz="1000" b="0" strike="noStrike" spc="-1">
                          <a:solidFill>
                            <a:srgbClr val="000000"/>
                          </a:solidFill>
                          <a:latin typeface="Calibri"/>
                        </a:defRPr>
                      </a:pPr>
                      <a:t>[PERCENTAGE]</a:t>
                    </a:fld>
                    <a:endParaRPr lang="en-US" sz="700" baseline="0"/>
                  </a:p>
                </c:rich>
              </c:tx>
              <c:spPr/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6685-485E-A631-BC3268761F9E}"/>
                </c:ext>
              </c:extLst>
            </c:dLbl>
            <c:dLbl>
              <c:idx val="1"/>
              <c:layout>
                <c:manualLayout>
                  <c:x val="-0.30720380635266836"/>
                  <c:y val="-5.0404280391533392E-2"/>
                </c:manualLayout>
              </c:layout>
              <c:tx>
                <c:rich>
                  <a:bodyPr wrap="square"/>
                  <a:lstStyle/>
                  <a:p>
                    <a:pPr>
                      <a:defRPr sz="1000" b="0" strike="noStrike" spc="-1">
                        <a:solidFill>
                          <a:srgbClr val="000000"/>
                        </a:solidFill>
                        <a:latin typeface="Calibri"/>
                      </a:defRPr>
                    </a:pPr>
                    <a:fld id="{85A5576A-23D6-41EB-80F7-877C1115A077}" type="SERIESNAME">
                      <a:rPr lang="en-US" sz="700"/>
                      <a:pPr>
                        <a:defRPr sz="1000" b="0" strike="noStrike" spc="-1">
                          <a:solidFill>
                            <a:srgbClr val="000000"/>
                          </a:solidFill>
                          <a:latin typeface="Calibri"/>
                        </a:defRPr>
                      </a:pPr>
                      <a:t>[SERIES NAME]</a:t>
                    </a:fld>
                    <a:r>
                      <a:rPr lang="en-US" sz="700" baseline="0"/>
                      <a:t>; </a:t>
                    </a:r>
                    <a:fld id="{877DD834-1BE9-40C5-9E59-D68E0FE5FAE2}" type="CATEGORYNAME">
                      <a:rPr lang="en-US" sz="700" baseline="0"/>
                      <a:pPr>
                        <a:defRPr sz="1000" b="0" strike="noStrike" spc="-1">
                          <a:solidFill>
                            <a:srgbClr val="000000"/>
                          </a:solidFill>
                          <a:latin typeface="Calibri"/>
                        </a:defRPr>
                      </a:pPr>
                      <a:t>[CATEGORY NAME]</a:t>
                    </a:fld>
                    <a:r>
                      <a:rPr lang="en-US" sz="700" baseline="0"/>
                      <a:t>; </a:t>
                    </a:r>
                    <a:fld id="{C6E26659-EF40-4E04-A86A-05FB6C3C5C9A}" type="VALUE">
                      <a:rPr lang="en-US" sz="700" baseline="0"/>
                      <a:pPr>
                        <a:defRPr sz="1000" b="0" strike="noStrike" spc="-1">
                          <a:solidFill>
                            <a:srgbClr val="000000"/>
                          </a:solidFill>
                          <a:latin typeface="Calibri"/>
                        </a:defRPr>
                      </a:pPr>
                      <a:t>[VALUE]</a:t>
                    </a:fld>
                    <a:r>
                      <a:rPr lang="en-US" sz="700" baseline="0"/>
                      <a:t>; </a:t>
                    </a:r>
                    <a:fld id="{74DB9C98-31DA-4BEE-B7A5-C637BC707307}" type="PERCENTAGE">
                      <a:rPr lang="en-US" sz="700" baseline="0"/>
                      <a:pPr>
                        <a:defRPr sz="1000" b="0" strike="noStrike" spc="-1">
                          <a:solidFill>
                            <a:srgbClr val="000000"/>
                          </a:solidFill>
                          <a:latin typeface="Calibri"/>
                        </a:defRPr>
                      </a:pPr>
                      <a:t>[PERCENTAGE]</a:t>
                    </a:fld>
                    <a:endParaRPr lang="en-US" sz="700" baseline="0"/>
                  </a:p>
                </c:rich>
              </c:tx>
              <c:spPr/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6685-485E-A631-BC3268761F9E}"/>
                </c:ext>
              </c:extLst>
            </c:dLbl>
            <c:dLbl>
              <c:idx val="2"/>
              <c:layout>
                <c:manualLayout>
                  <c:x val="-0.27886190141254058"/>
                  <c:y val="0.27059006709294242"/>
                </c:manualLayout>
              </c:layout>
              <c:tx>
                <c:rich>
                  <a:bodyPr wrap="square"/>
                  <a:lstStyle/>
                  <a:p>
                    <a:pPr>
                      <a:defRPr sz="1000" b="0" strike="noStrike" spc="-1">
                        <a:solidFill>
                          <a:srgbClr val="000000"/>
                        </a:solidFill>
                        <a:latin typeface="Calibri"/>
                      </a:defRPr>
                    </a:pPr>
                    <a:fld id="{30D2BE14-1898-45C7-8F2F-28BA22807B7E}" type="SERIESNAME">
                      <a:rPr lang="en-US" sz="700"/>
                      <a:pPr>
                        <a:defRPr sz="1000" b="0" strike="noStrike" spc="-1">
                          <a:solidFill>
                            <a:srgbClr val="000000"/>
                          </a:solidFill>
                          <a:latin typeface="Calibri"/>
                        </a:defRPr>
                      </a:pPr>
                      <a:t>[SERIES NAME]</a:t>
                    </a:fld>
                    <a:r>
                      <a:rPr lang="en-US" sz="700" baseline="0"/>
                      <a:t>; </a:t>
                    </a:r>
                    <a:fld id="{5274F85D-DFD0-4070-ACA2-15CC5A136A0A}" type="CATEGORYNAME">
                      <a:rPr lang="en-US" sz="700" baseline="0"/>
                      <a:pPr>
                        <a:defRPr sz="1000" b="0" strike="noStrike" spc="-1">
                          <a:solidFill>
                            <a:srgbClr val="000000"/>
                          </a:solidFill>
                          <a:latin typeface="Calibri"/>
                        </a:defRPr>
                      </a:pPr>
                      <a:t>[CATEGORY NAME]</a:t>
                    </a:fld>
                    <a:r>
                      <a:rPr lang="en-US" sz="700" baseline="0"/>
                      <a:t>; </a:t>
                    </a:r>
                    <a:fld id="{2E1DEB7A-BDF3-49CA-A943-5750CEDD9052}" type="VALUE">
                      <a:rPr lang="en-US" sz="700" baseline="0"/>
                      <a:pPr>
                        <a:defRPr sz="1000" b="0" strike="noStrike" spc="-1">
                          <a:solidFill>
                            <a:srgbClr val="000000"/>
                          </a:solidFill>
                          <a:latin typeface="Calibri"/>
                        </a:defRPr>
                      </a:pPr>
                      <a:t>[VALUE]</a:t>
                    </a:fld>
                    <a:r>
                      <a:rPr lang="en-US" sz="700" baseline="0"/>
                      <a:t>; </a:t>
                    </a:r>
                    <a:fld id="{09AFE3B8-574F-4121-B242-58BEE66427E6}" type="PERCENTAGE">
                      <a:rPr lang="en-US" sz="700" baseline="0"/>
                      <a:pPr>
                        <a:defRPr sz="1000" b="0" strike="noStrike" spc="-1">
                          <a:solidFill>
                            <a:srgbClr val="000000"/>
                          </a:solidFill>
                          <a:latin typeface="Calibri"/>
                        </a:defRPr>
                      </a:pPr>
                      <a:t>[PERCENTAGE]</a:t>
                    </a:fld>
                    <a:endParaRPr lang="en-US" sz="700" baseline="0"/>
                  </a:p>
                </c:rich>
              </c:tx>
              <c:spPr/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5003430793685621"/>
                      <c:h val="3.077320872098822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6685-485E-A631-BC3268761F9E}"/>
                </c:ext>
              </c:extLst>
            </c:dLbl>
            <c:dLbl>
              <c:idx val="3"/>
              <c:layout>
                <c:manualLayout>
                  <c:x val="-0.26691757706379987"/>
                  <c:y val="0.12824916466019406"/>
                </c:manualLayout>
              </c:layout>
              <c:tx>
                <c:rich>
                  <a:bodyPr wrap="square"/>
                  <a:lstStyle/>
                  <a:p>
                    <a:pPr>
                      <a:defRPr sz="1000" b="0" strike="noStrike" spc="-1">
                        <a:solidFill>
                          <a:srgbClr val="000000"/>
                        </a:solidFill>
                        <a:latin typeface="Calibri"/>
                      </a:defRPr>
                    </a:pPr>
                    <a:fld id="{AB6C7298-899E-4992-A11C-F878F83B2E98}" type="SERIESNAME">
                      <a:rPr lang="en-US" sz="700"/>
                      <a:pPr>
                        <a:defRPr sz="1000" b="0" strike="noStrike" spc="-1">
                          <a:solidFill>
                            <a:srgbClr val="000000"/>
                          </a:solidFill>
                          <a:latin typeface="Calibri"/>
                        </a:defRPr>
                      </a:pPr>
                      <a:t>[SERIES NAME]</a:t>
                    </a:fld>
                    <a:r>
                      <a:rPr lang="en-US" sz="700" baseline="0"/>
                      <a:t>; </a:t>
                    </a:r>
                    <a:fld id="{80C765AE-B830-4CE6-A3EC-6488BFC7CBFF}" type="CATEGORYNAME">
                      <a:rPr lang="en-US" sz="700" baseline="0"/>
                      <a:pPr>
                        <a:defRPr sz="1000" b="0" strike="noStrike" spc="-1">
                          <a:solidFill>
                            <a:srgbClr val="000000"/>
                          </a:solidFill>
                          <a:latin typeface="Calibri"/>
                        </a:defRPr>
                      </a:pPr>
                      <a:t>[CATEGORY NAME]</a:t>
                    </a:fld>
                    <a:r>
                      <a:rPr lang="en-US" sz="700" baseline="0"/>
                      <a:t>; </a:t>
                    </a:r>
                    <a:fld id="{0B402E85-C9BB-4570-9DDA-E50BBFFD7EDF}" type="VALUE">
                      <a:rPr lang="en-US" sz="700" baseline="0"/>
                      <a:pPr>
                        <a:defRPr sz="1000" b="0" strike="noStrike" spc="-1">
                          <a:solidFill>
                            <a:srgbClr val="000000"/>
                          </a:solidFill>
                          <a:latin typeface="Calibri"/>
                        </a:defRPr>
                      </a:pPr>
                      <a:t>[VALUE]</a:t>
                    </a:fld>
                    <a:r>
                      <a:rPr lang="en-US" sz="700" baseline="0"/>
                      <a:t>; </a:t>
                    </a:r>
                    <a:fld id="{FDCA7999-7BC8-4893-B86A-2F32E3F57A4B}" type="PERCENTAGE">
                      <a:rPr lang="en-US" sz="700" baseline="0"/>
                      <a:pPr>
                        <a:defRPr sz="1000" b="0" strike="noStrike" spc="-1">
                          <a:solidFill>
                            <a:srgbClr val="000000"/>
                          </a:solidFill>
                          <a:latin typeface="Calibri"/>
                        </a:defRPr>
                      </a:pPr>
                      <a:t>[PERCENTAGE]</a:t>
                    </a:fld>
                    <a:endParaRPr lang="en-US" sz="700" baseline="0"/>
                  </a:p>
                </c:rich>
              </c:tx>
              <c:spPr/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739227415375548"/>
                      <c:h val="4.0064732386422081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6685-485E-A631-BC3268761F9E}"/>
                </c:ext>
              </c:extLst>
            </c:dLbl>
            <c:dLbl>
              <c:idx val="4"/>
              <c:layout>
                <c:manualLayout>
                  <c:x val="-0.29410527266743669"/>
                  <c:y val="7.2688554492419455E-2"/>
                </c:manualLayout>
              </c:layout>
              <c:tx>
                <c:rich>
                  <a:bodyPr wrap="square"/>
                  <a:lstStyle/>
                  <a:p>
                    <a:pPr>
                      <a:defRPr sz="1000" b="0" strike="noStrike" spc="-1">
                        <a:solidFill>
                          <a:srgbClr val="000000"/>
                        </a:solidFill>
                        <a:latin typeface="Calibri"/>
                      </a:defRPr>
                    </a:pPr>
                    <a:fld id="{A9B67B3D-BD0E-4583-A6D5-C4C9EC44E3B0}" type="SERIESNAME">
                      <a:rPr lang="en-US" sz="700"/>
                      <a:pPr>
                        <a:defRPr sz="1000" b="0" strike="noStrike" spc="-1">
                          <a:solidFill>
                            <a:srgbClr val="000000"/>
                          </a:solidFill>
                          <a:latin typeface="Calibri"/>
                        </a:defRPr>
                      </a:pPr>
                      <a:t>[SERIES NAME]</a:t>
                    </a:fld>
                    <a:r>
                      <a:rPr lang="en-US" sz="700" baseline="0"/>
                      <a:t>; </a:t>
                    </a:r>
                    <a:fld id="{0129B1FB-BAAF-4010-AE7B-A6EF6994756F}" type="CATEGORYNAME">
                      <a:rPr lang="en-US" sz="700" baseline="0"/>
                      <a:pPr>
                        <a:defRPr sz="1000" b="0" strike="noStrike" spc="-1">
                          <a:solidFill>
                            <a:srgbClr val="000000"/>
                          </a:solidFill>
                          <a:latin typeface="Calibri"/>
                        </a:defRPr>
                      </a:pPr>
                      <a:t>[CATEGORY NAME]</a:t>
                    </a:fld>
                    <a:r>
                      <a:rPr lang="en-US" sz="700" baseline="0"/>
                      <a:t>; </a:t>
                    </a:r>
                    <a:fld id="{E81B5C45-1B53-46D4-8D38-92DA354031C1}" type="VALUE">
                      <a:rPr lang="en-US" sz="700" baseline="0"/>
                      <a:pPr>
                        <a:defRPr sz="1000" b="0" strike="noStrike" spc="-1">
                          <a:solidFill>
                            <a:srgbClr val="000000"/>
                          </a:solidFill>
                          <a:latin typeface="Calibri"/>
                        </a:defRPr>
                      </a:pPr>
                      <a:t>[VALUE]</a:t>
                    </a:fld>
                    <a:r>
                      <a:rPr lang="en-US" sz="700" baseline="0"/>
                      <a:t>; </a:t>
                    </a:r>
                    <a:fld id="{B3CFDC8C-FE21-4A21-9AEE-F6D7E7405A13}" type="PERCENTAGE">
                      <a:rPr lang="en-US" sz="700" baseline="0"/>
                      <a:pPr>
                        <a:defRPr sz="1000" b="0" strike="noStrike" spc="-1">
                          <a:solidFill>
                            <a:srgbClr val="000000"/>
                          </a:solidFill>
                          <a:latin typeface="Calibri"/>
                        </a:defRPr>
                      </a:pPr>
                      <a:t>[PERCENTAGE]</a:t>
                    </a:fld>
                    <a:endParaRPr lang="en-US" sz="700" baseline="0"/>
                  </a:p>
                </c:rich>
              </c:tx>
              <c:spPr/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9-6685-485E-A631-BC3268761F9E}"/>
                </c:ext>
              </c:extLst>
            </c:dLbl>
            <c:dLbl>
              <c:idx val="5"/>
              <c:layout>
                <c:manualLayout>
                  <c:x val="-0.27950396530919086"/>
                  <c:y val="0.20155896747091279"/>
                </c:manualLayout>
              </c:layout>
              <c:tx>
                <c:rich>
                  <a:bodyPr wrap="square"/>
                  <a:lstStyle/>
                  <a:p>
                    <a:pPr>
                      <a:defRPr sz="1000" b="0" strike="noStrike" spc="-1">
                        <a:solidFill>
                          <a:srgbClr val="000000"/>
                        </a:solidFill>
                        <a:latin typeface="Calibri"/>
                      </a:defRPr>
                    </a:pPr>
                    <a:fld id="{EBAFAD6D-EAFE-40F8-A920-A88D8CCF6F31}" type="SERIESNAME">
                      <a:rPr lang="en-US" sz="700"/>
                      <a:pPr>
                        <a:defRPr sz="1000" b="0" strike="noStrike" spc="-1">
                          <a:solidFill>
                            <a:srgbClr val="000000"/>
                          </a:solidFill>
                          <a:latin typeface="Calibri"/>
                        </a:defRPr>
                      </a:pPr>
                      <a:t>[SERIES NAME]</a:t>
                    </a:fld>
                    <a:r>
                      <a:rPr lang="en-US" sz="700" baseline="0"/>
                      <a:t>; </a:t>
                    </a:r>
                    <a:fld id="{65B5797B-DC41-4A0A-8FF2-887D6E443A4E}" type="CATEGORYNAME">
                      <a:rPr lang="en-US" sz="700" baseline="0"/>
                      <a:pPr>
                        <a:defRPr sz="1000" b="0" strike="noStrike" spc="-1">
                          <a:solidFill>
                            <a:srgbClr val="000000"/>
                          </a:solidFill>
                          <a:latin typeface="Calibri"/>
                        </a:defRPr>
                      </a:pPr>
                      <a:t>[CATEGORY NAME]</a:t>
                    </a:fld>
                    <a:r>
                      <a:rPr lang="en-US" sz="700" baseline="0"/>
                      <a:t>; </a:t>
                    </a:r>
                    <a:fld id="{1AF37B96-7196-42CE-9C78-E0902813B8DE}" type="VALUE">
                      <a:rPr lang="en-US" sz="700" baseline="0"/>
                      <a:pPr>
                        <a:defRPr sz="1000" b="0" strike="noStrike" spc="-1">
                          <a:solidFill>
                            <a:srgbClr val="000000"/>
                          </a:solidFill>
                          <a:latin typeface="Calibri"/>
                        </a:defRPr>
                      </a:pPr>
                      <a:t>[VALUE]</a:t>
                    </a:fld>
                    <a:r>
                      <a:rPr lang="en-US" sz="700" baseline="0"/>
                      <a:t>; </a:t>
                    </a:r>
                    <a:fld id="{A4440678-EF3C-4D24-8E82-58C54F2B48C1}" type="PERCENTAGE">
                      <a:rPr lang="en-US" sz="700" baseline="0"/>
                      <a:pPr>
                        <a:defRPr sz="1000" b="0" strike="noStrike" spc="-1">
                          <a:solidFill>
                            <a:srgbClr val="000000"/>
                          </a:solidFill>
                          <a:latin typeface="Calibri"/>
                        </a:defRPr>
                      </a:pPr>
                      <a:t>[PERCENTAGE]</a:t>
                    </a:fld>
                    <a:endParaRPr lang="en-US" sz="700" baseline="0"/>
                  </a:p>
                </c:rich>
              </c:tx>
              <c:spPr/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487499650467728"/>
                      <c:h val="4.8006205604741621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B-6685-485E-A631-BC3268761F9E}"/>
                </c:ext>
              </c:extLst>
            </c:dLbl>
            <c:dLbl>
              <c:idx val="6"/>
              <c:layout>
                <c:manualLayout>
                  <c:x val="-0.30038136659589981"/>
                  <c:y val="1.5648766773626428E-2"/>
                </c:manualLayout>
              </c:layout>
              <c:tx>
                <c:rich>
                  <a:bodyPr wrap="square"/>
                  <a:lstStyle/>
                  <a:p>
                    <a:pPr>
                      <a:defRPr sz="1000" b="0" strike="noStrike" spc="-1">
                        <a:solidFill>
                          <a:srgbClr val="000000"/>
                        </a:solidFill>
                        <a:latin typeface="Calibri"/>
                      </a:defRPr>
                    </a:pPr>
                    <a:fld id="{157DE4F7-7520-49C3-98EA-80F7810BD157}" type="SERIESNAME">
                      <a:rPr lang="en-US" sz="700"/>
                      <a:pPr>
                        <a:defRPr sz="1000" b="0" strike="noStrike" spc="-1">
                          <a:solidFill>
                            <a:srgbClr val="000000"/>
                          </a:solidFill>
                          <a:latin typeface="Calibri"/>
                        </a:defRPr>
                      </a:pPr>
                      <a:t>[SERIES NAME]</a:t>
                    </a:fld>
                    <a:r>
                      <a:rPr lang="en-US" sz="700" baseline="0"/>
                      <a:t>; </a:t>
                    </a:r>
                    <a:fld id="{E151F573-4006-4A82-94F9-623116BEB69C}" type="CATEGORYNAME">
                      <a:rPr lang="en-US" sz="700" baseline="0"/>
                      <a:pPr>
                        <a:defRPr sz="1000" b="0" strike="noStrike" spc="-1">
                          <a:solidFill>
                            <a:srgbClr val="000000"/>
                          </a:solidFill>
                          <a:latin typeface="Calibri"/>
                        </a:defRPr>
                      </a:pPr>
                      <a:t>[CATEGORY NAME]</a:t>
                    </a:fld>
                    <a:r>
                      <a:rPr lang="en-US" sz="700" baseline="0"/>
                      <a:t>; </a:t>
                    </a:r>
                    <a:fld id="{3C04CEDE-FAE2-4320-9A07-97536F0C8107}" type="VALUE">
                      <a:rPr lang="en-US" sz="700" baseline="0"/>
                      <a:pPr>
                        <a:defRPr sz="1000" b="0" strike="noStrike" spc="-1">
                          <a:solidFill>
                            <a:srgbClr val="000000"/>
                          </a:solidFill>
                          <a:latin typeface="Calibri"/>
                        </a:defRPr>
                      </a:pPr>
                      <a:t>[VALUE]</a:t>
                    </a:fld>
                    <a:r>
                      <a:rPr lang="en-US" sz="700" baseline="0"/>
                      <a:t>; </a:t>
                    </a:r>
                    <a:fld id="{D80C9FE8-8E65-4A46-BEF8-EA52506DBBCD}" type="PERCENTAGE">
                      <a:rPr lang="en-US" sz="700" baseline="0"/>
                      <a:pPr>
                        <a:defRPr sz="1000" b="0" strike="noStrike" spc="-1">
                          <a:solidFill>
                            <a:srgbClr val="000000"/>
                          </a:solidFill>
                          <a:latin typeface="Calibri"/>
                        </a:defRPr>
                      </a:pPr>
                      <a:t>[PERCENTAGE]</a:t>
                    </a:fld>
                    <a:endParaRPr lang="en-US" sz="700" baseline="0"/>
                  </a:p>
                </c:rich>
              </c:tx>
              <c:spPr/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D-6685-485E-A631-BC3268761F9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Dashboard!$N$5:$N$11</c:f>
              <c:strCache>
                <c:ptCount val="7"/>
                <c:pt idx="0">
                  <c:v>ARIS</c:v>
                </c:pt>
                <c:pt idx="1">
                  <c:v>DSA</c:v>
                </c:pt>
                <c:pt idx="2">
                  <c:v>App Tool</c:v>
                </c:pt>
                <c:pt idx="3">
                  <c:v>Networking</c:v>
                </c:pt>
                <c:pt idx="4">
                  <c:v>Writing</c:v>
                </c:pt>
                <c:pt idx="5">
                  <c:v>Resources</c:v>
                </c:pt>
                <c:pt idx="6">
                  <c:v>Other</c:v>
                </c:pt>
              </c:strCache>
            </c:strRef>
          </c:cat>
          <c:val>
            <c:numRef>
              <c:f>Dashboard!$O$5:$O$11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685-485E-A631-BC3268761F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80775595979410941"/>
          <c:y val="0.31018800343546876"/>
          <c:w val="0.17585366535672725"/>
          <c:h val="0.50261740326957327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0</xdr:rowOff>
    </xdr:from>
    <xdr:to>
      <xdr:col>5</xdr:col>
      <xdr:colOff>135720</xdr:colOff>
      <xdr:row>27</xdr:row>
      <xdr:rowOff>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554934</xdr:colOff>
      <xdr:row>18</xdr:row>
      <xdr:rowOff>120098</xdr:rowOff>
    </xdr:from>
    <xdr:to>
      <xdr:col>12</xdr:col>
      <xdr:colOff>258459</xdr:colOff>
      <xdr:row>36</xdr:row>
      <xdr:rowOff>4861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22412</xdr:colOff>
      <xdr:row>27</xdr:row>
      <xdr:rowOff>109498</xdr:rowOff>
    </xdr:from>
    <xdr:to>
      <xdr:col>5</xdr:col>
      <xdr:colOff>158132</xdr:colOff>
      <xdr:row>50</xdr:row>
      <xdr:rowOff>25443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487454</xdr:colOff>
      <xdr:row>39</xdr:row>
      <xdr:rowOff>115101</xdr:rowOff>
    </xdr:from>
    <xdr:to>
      <xdr:col>12</xdr:col>
      <xdr:colOff>190248</xdr:colOff>
      <xdr:row>56</xdr:row>
      <xdr:rowOff>17529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7</xdr:col>
      <xdr:colOff>561783</xdr:colOff>
      <xdr:row>18</xdr:row>
      <xdr:rowOff>121803</xdr:rowOff>
    </xdr:from>
    <xdr:to>
      <xdr:col>12</xdr:col>
      <xdr:colOff>540882</xdr:colOff>
      <xdr:row>36</xdr:row>
      <xdr:rowOff>9490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B128B0C-8E12-8374-5972-5D11063B94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6"/>
  <sheetViews>
    <sheetView topLeftCell="A10" zoomScale="85" zoomScaleNormal="85" workbookViewId="0">
      <selection activeCell="B5" sqref="B5"/>
    </sheetView>
  </sheetViews>
  <sheetFormatPr defaultColWidth="8.6640625" defaultRowHeight="14.25" x14ac:dyDescent="0.45"/>
  <cols>
    <col min="1" max="6" width="18" customWidth="1"/>
    <col min="10" max="12" width="16" customWidth="1"/>
    <col min="14" max="15" width="16" customWidth="1"/>
    <col min="17" max="18" width="16" customWidth="1"/>
    <col min="20" max="21" width="16" customWidth="1"/>
  </cols>
  <sheetData>
    <row r="1" spans="1:21" ht="27.75" customHeight="1" x14ac:dyDescent="0.7">
      <c r="A1" s="7" t="s">
        <v>0</v>
      </c>
      <c r="B1" s="7"/>
      <c r="C1" s="7"/>
      <c r="D1" s="7"/>
      <c r="E1" s="7"/>
      <c r="F1" s="7"/>
      <c r="G1" s="7"/>
      <c r="H1" s="7"/>
    </row>
    <row r="2" spans="1:21" ht="15" customHeight="1" x14ac:dyDescent="0.45">
      <c r="A2" s="6" t="s">
        <v>1</v>
      </c>
      <c r="B2" s="6"/>
      <c r="C2" s="6"/>
      <c r="D2" s="6"/>
      <c r="E2" s="6"/>
      <c r="F2" s="6"/>
      <c r="G2" s="6"/>
      <c r="H2" s="6"/>
    </row>
    <row r="3" spans="1:21" ht="15" customHeight="1" x14ac:dyDescent="0.45">
      <c r="J3" s="8" t="s">
        <v>2</v>
      </c>
      <c r="N3" s="8" t="s">
        <v>3</v>
      </c>
      <c r="Q3" s="8" t="s">
        <v>4</v>
      </c>
      <c r="T3" s="8" t="s">
        <v>5</v>
      </c>
    </row>
    <row r="4" spans="1:21" ht="21.75" customHeight="1" x14ac:dyDescent="0.45">
      <c r="A4" s="9" t="s">
        <v>6</v>
      </c>
      <c r="B4" s="9" t="s">
        <v>7</v>
      </c>
      <c r="C4" s="9" t="s">
        <v>8</v>
      </c>
      <c r="D4" s="9" t="s">
        <v>9</v>
      </c>
      <c r="E4" s="9" t="s">
        <v>10</v>
      </c>
      <c r="F4" s="9" t="s">
        <v>11</v>
      </c>
      <c r="J4" s="10" t="s">
        <v>12</v>
      </c>
      <c r="K4" s="10" t="s">
        <v>13</v>
      </c>
      <c r="L4" s="10" t="s">
        <v>14</v>
      </c>
      <c r="N4" s="10" t="s">
        <v>15</v>
      </c>
      <c r="O4" s="10" t="s">
        <v>16</v>
      </c>
      <c r="Q4" s="10" t="s">
        <v>17</v>
      </c>
      <c r="R4" s="10" t="s">
        <v>13</v>
      </c>
      <c r="T4" s="10" t="s">
        <v>18</v>
      </c>
      <c r="U4" s="10" t="s">
        <v>19</v>
      </c>
    </row>
    <row r="5" spans="1:21" ht="37.5" customHeight="1" x14ac:dyDescent="0.45">
      <c r="A5" s="11">
        <f ca="1">Settings!B6-TODAY()</f>
        <v>116</v>
      </c>
      <c r="B5" s="11">
        <f ca="1">Settings!B7-TODAY()</f>
        <v>131</v>
      </c>
      <c r="C5" s="11">
        <f>COUNTIF('ARIS Tasks'!E:E,"Done")</f>
        <v>10</v>
      </c>
      <c r="D5" s="12">
        <f>IF((COUNTIF('ARIS Tasks'!E:E,"Done")+COUNTIF('ARIS Tasks'!E:E,"Doing")+COUNTIF('ARIS Tasks'!E:E,"Todo")+COUNTIF('ARIS Tasks'!E:E,"Blocked"))=0,0,COUNTIF('ARIS Tasks'!E:E,"Done")/(COUNTIF('ARIS Tasks'!E:E,"Done")+COUNTIF('ARIS Tasks'!E:E,"Doing")+COUNTIF('ARIS Tasks'!E:E,"Todo")+COUNTIF('ARIS Tasks'!E:E,"Blocked")))</f>
        <v>8.9285714285714288E-2</v>
      </c>
      <c r="E5" s="11">
        <f>COUNTIF('DSA Tracker'!E:E,"Done")</f>
        <v>0</v>
      </c>
      <c r="F5" s="11">
        <f>COUNTIF(Applications!G:G,"Applied")+COUNTIF(Applications!G:G,"OA Sent")+COUNTIF(Applications!G:G,"OA Done")+COUNTIF(Applications!G:G,"Phone Screen")+COUNTIF(Applications!G:G,"Tech Interview")+COUNTIF(Applications!G:G,"Final")+COUNTIF(Applications!G:G,"Offer")+COUNTIF(Applications!G:G,"Rejected")+COUNTIF(Applications!G:G,"Withdrawn")+COUNTIF(Applications!G:G,"Ghosted")</f>
        <v>0</v>
      </c>
      <c r="J5" s="13" t="s">
        <v>20</v>
      </c>
      <c r="K5" s="14">
        <f>COUNTIFS('ARIS Tasks'!A:A,"Phase 0",'ARIS Tasks'!E:E,"Done")</f>
        <v>10</v>
      </c>
      <c r="L5" s="14">
        <f>COUNTIF('ARIS Tasks'!A:A,"Phase 0")</f>
        <v>21</v>
      </c>
      <c r="N5" s="13" t="s">
        <v>21</v>
      </c>
      <c r="O5" s="14">
        <f ca="1">SUMIFS('Daily Log'!C:C,'Daily Log'!A:A,"&gt;="&amp;(TODAY()-WEEKDAY(TODAY(),2)+1),'Daily Log'!A:A,"&lt;="&amp;(TODAY()-WEEKDAY(TODAY(),2)+7))</f>
        <v>0</v>
      </c>
      <c r="Q5" s="13" t="s">
        <v>22</v>
      </c>
      <c r="R5" s="14">
        <f>COUNTIFS('DSA Tracker'!C:C,"Arrays &amp; Hashing",'DSA Tracker'!E:E,"Done")</f>
        <v>0</v>
      </c>
      <c r="T5" s="13" t="s">
        <v>23</v>
      </c>
      <c r="U5" s="14">
        <f>COUNTIF(Applications!G:G,"Applied")+COUNTIF(Applications!G:G,"OA Sent")+COUNTIF(Applications!G:G,"OA Done")+COUNTIF(Applications!G:G,"Phone Screen")+COUNTIF(Applications!G:G,"Tech Interview")+COUNTIF(Applications!G:G,"Final")+COUNTIF(Applications!G:G,"Offer")</f>
        <v>0</v>
      </c>
    </row>
    <row r="6" spans="1:21" ht="15" customHeight="1" x14ac:dyDescent="0.45">
      <c r="J6" s="13" t="s">
        <v>24</v>
      </c>
      <c r="K6" s="14">
        <f>COUNTIFS('ARIS Tasks'!A:A,"Phase 1",'ARIS Tasks'!E:E,"Done")</f>
        <v>0</v>
      </c>
      <c r="L6" s="14">
        <f>COUNTIF('ARIS Tasks'!A:A,"Phase 1")</f>
        <v>13</v>
      </c>
      <c r="N6" s="13" t="s">
        <v>25</v>
      </c>
      <c r="O6" s="14">
        <f ca="1">SUMIFS('Daily Log'!D:D,'Daily Log'!A:A,"&gt;="&amp;(TODAY()-WEEKDAY(TODAY(),2)+1),'Daily Log'!A:A,"&lt;="&amp;(TODAY()-WEEKDAY(TODAY(),2)+7))</f>
        <v>0</v>
      </c>
      <c r="Q6" s="13" t="s">
        <v>26</v>
      </c>
      <c r="R6" s="14">
        <f>COUNTIFS('DSA Tracker'!C:C,"Two Pointers",'DSA Tracker'!E:E,"Done")</f>
        <v>0</v>
      </c>
      <c r="T6" s="13" t="s">
        <v>27</v>
      </c>
      <c r="U6" s="14">
        <f>COUNTIF(Applications!G:G,"OA Sent")+COUNTIF(Applications!G:G,"OA Done")+COUNTIF(Applications!G:G,"Phone Screen")+COUNTIF(Applications!G:G,"Tech Interview")+COUNTIF(Applications!G:G,"Final")+COUNTIF(Applications!G:G,"Offer")</f>
        <v>0</v>
      </c>
    </row>
    <row r="7" spans="1:21" ht="21.75" customHeight="1" x14ac:dyDescent="0.45">
      <c r="A7" s="9" t="s">
        <v>28</v>
      </c>
      <c r="B7" s="9" t="s">
        <v>29</v>
      </c>
      <c r="C7" s="9" t="s">
        <v>30</v>
      </c>
      <c r="D7" s="9" t="s">
        <v>31</v>
      </c>
      <c r="E7" s="9" t="s">
        <v>32</v>
      </c>
      <c r="F7" s="9" t="s">
        <v>33</v>
      </c>
      <c r="J7" s="13" t="s">
        <v>34</v>
      </c>
      <c r="K7" s="14">
        <f>COUNTIFS('ARIS Tasks'!A:A,"Phase 2",'ARIS Tasks'!E:E,"Done")</f>
        <v>0</v>
      </c>
      <c r="L7" s="14">
        <f>COUNTIF('ARIS Tasks'!A:A,"Phase 2")</f>
        <v>12</v>
      </c>
      <c r="N7" s="13" t="s">
        <v>35</v>
      </c>
      <c r="O7" s="14">
        <f ca="1">SUMIFS('Daily Log'!E:E,'Daily Log'!A:A,"&gt;="&amp;(TODAY()-WEEKDAY(TODAY(),2)+1),'Daily Log'!A:A,"&lt;="&amp;(TODAY()-WEEKDAY(TODAY(),2)+7))</f>
        <v>0</v>
      </c>
      <c r="Q7" s="13" t="s">
        <v>36</v>
      </c>
      <c r="R7" s="14">
        <f>COUNTIFS('DSA Tracker'!C:C,"Sliding Window",'DSA Tracker'!E:E,"Done")</f>
        <v>0</v>
      </c>
      <c r="T7" s="13" t="s">
        <v>37</v>
      </c>
      <c r="U7" s="14">
        <f>COUNTIF(Applications!G:G,"Phone Screen")+COUNTIF(Applications!G:G,"Tech Interview")+COUNTIF(Applications!G:G,"Final")+COUNTIF(Applications!G:G,"Offer")</f>
        <v>0</v>
      </c>
    </row>
    <row r="8" spans="1:21" ht="37.5" customHeight="1" x14ac:dyDescent="0.45">
      <c r="A8" s="15">
        <f ca="1">SUMIFS('Daily Log'!J:J,'Daily Log'!A:A,"&gt;="&amp;(TODAY()-WEEKDAY(TODAY(),2)+1),'Daily Log'!A:A,"&lt;="&amp;TODAY())</f>
        <v>0</v>
      </c>
      <c r="B8" s="15">
        <f ca="1">SUMIFS('Daily Log'!K:K,'Daily Log'!A:A,"&gt;="&amp;(TODAY()-WEEKDAY(TODAY(),2)+1),'Daily Log'!A:A,"&lt;="&amp;(TODAY()-WEEKDAY(TODAY(),2)+7))</f>
        <v>36</v>
      </c>
      <c r="C8" s="11">
        <f>COUNTIF(Resources!J:J,"Done")</f>
        <v>0</v>
      </c>
      <c r="D8" s="11">
        <f>COUNTIF(Networking!I:I,"Yes")</f>
        <v>0</v>
      </c>
      <c r="E8" s="11">
        <f>COUNTA(Networking!B:B)-1</f>
        <v>0</v>
      </c>
      <c r="F8" s="11">
        <f>COUNTIF(Applications!G:G,"Offer")</f>
        <v>0</v>
      </c>
      <c r="J8" s="13" t="s">
        <v>38</v>
      </c>
      <c r="K8" s="14">
        <f>COUNTIFS('ARIS Tasks'!A:A,"Phase 3",'ARIS Tasks'!E:E,"Done")</f>
        <v>0</v>
      </c>
      <c r="L8" s="14">
        <f>COUNTIF('ARIS Tasks'!A:A,"Phase 3")</f>
        <v>18</v>
      </c>
      <c r="N8" s="13" t="s">
        <v>39</v>
      </c>
      <c r="O8" s="14">
        <f ca="1">SUMIFS('Daily Log'!F:F,'Daily Log'!A:A,"&gt;="&amp;(TODAY()-WEEKDAY(TODAY(),2)+1),'Daily Log'!A:A,"&lt;="&amp;(TODAY()-WEEKDAY(TODAY(),2)+7))</f>
        <v>0</v>
      </c>
      <c r="Q8" s="13" t="s">
        <v>40</v>
      </c>
      <c r="R8" s="14">
        <f>COUNTIFS('DSA Tracker'!C:C,"Stack",'DSA Tracker'!E:E,"Done")</f>
        <v>0</v>
      </c>
      <c r="T8" s="13" t="s">
        <v>41</v>
      </c>
      <c r="U8" s="14">
        <f>COUNTIF(Applications!G:G,"Final")+COUNTIF(Applications!G:G,"Offer")</f>
        <v>0</v>
      </c>
    </row>
    <row r="9" spans="1:21" ht="15" customHeight="1" x14ac:dyDescent="0.45">
      <c r="J9" s="13" t="s">
        <v>42</v>
      </c>
      <c r="K9" s="14">
        <f>COUNTIFS('ARIS Tasks'!A:A,"Phase 4",'ARIS Tasks'!E:E,"Done")</f>
        <v>0</v>
      </c>
      <c r="L9" s="14">
        <f>COUNTIF('ARIS Tasks'!A:A,"Phase 4")</f>
        <v>9</v>
      </c>
      <c r="N9" s="13" t="s">
        <v>43</v>
      </c>
      <c r="O9" s="14">
        <f ca="1">SUMIFS('Daily Log'!G:G,'Daily Log'!A:A,"&gt;="&amp;(TODAY()-WEEKDAY(TODAY(),2)+1),'Daily Log'!A:A,"&lt;="&amp;(TODAY()-WEEKDAY(TODAY(),2)+7))</f>
        <v>0</v>
      </c>
      <c r="Q9" s="13" t="s">
        <v>44</v>
      </c>
      <c r="R9" s="14">
        <f>COUNTIFS('DSA Tracker'!C:C,"Binary Search",'DSA Tracker'!E:E,"Done")</f>
        <v>0</v>
      </c>
      <c r="T9" s="13" t="s">
        <v>33</v>
      </c>
      <c r="U9" s="14">
        <f>COUNTIF(Applications!G:G,"Offer")</f>
        <v>0</v>
      </c>
    </row>
    <row r="10" spans="1:21" ht="15" customHeight="1" x14ac:dyDescent="0.45">
      <c r="J10" s="13" t="s">
        <v>45</v>
      </c>
      <c r="K10" s="14">
        <f>COUNTIFS('ARIS Tasks'!A:A,"Phase 5",'ARIS Tasks'!E:E,"Done")</f>
        <v>0</v>
      </c>
      <c r="L10" s="14">
        <f>COUNTIF('ARIS Tasks'!A:A,"Phase 5")</f>
        <v>9</v>
      </c>
      <c r="N10" s="13" t="s">
        <v>46</v>
      </c>
      <c r="O10" s="14">
        <f ca="1">SUMIFS('Daily Log'!H:H,'Daily Log'!A:A,"&gt;="&amp;(TODAY()-WEEKDAY(TODAY(),2)+1),'Daily Log'!A:A,"&lt;="&amp;(TODAY()-WEEKDAY(TODAY(),2)+7))</f>
        <v>0</v>
      </c>
      <c r="Q10" s="13" t="s">
        <v>47</v>
      </c>
      <c r="R10" s="14">
        <f>COUNTIFS('DSA Tracker'!C:C,"Linked List",'DSA Tracker'!E:E,"Done")</f>
        <v>0</v>
      </c>
    </row>
    <row r="11" spans="1:21" ht="15" customHeight="1" x14ac:dyDescent="0.45">
      <c r="J11" s="13" t="s">
        <v>48</v>
      </c>
      <c r="K11" s="14">
        <f>COUNTIFS('ARIS Tasks'!A:A,"Phase 6",'ARIS Tasks'!E:E,"Done")</f>
        <v>0</v>
      </c>
      <c r="L11" s="14">
        <f>COUNTIF('ARIS Tasks'!A:A,"Phase 6")</f>
        <v>9</v>
      </c>
      <c r="N11" s="13" t="s">
        <v>49</v>
      </c>
      <c r="O11" s="14">
        <f ca="1">SUMIFS('Daily Log'!I:I,'Daily Log'!A:A,"&gt;="&amp;(TODAY()-WEEKDAY(TODAY(),2)+1),'Daily Log'!A:A,"&lt;="&amp;(TODAY()-WEEKDAY(TODAY(),2)+7))</f>
        <v>0</v>
      </c>
      <c r="Q11" s="13" t="s">
        <v>50</v>
      </c>
      <c r="R11" s="14">
        <f>COUNTIFS('DSA Tracker'!C:C,"Trees",'DSA Tracker'!E:E,"Done")</f>
        <v>0</v>
      </c>
    </row>
    <row r="12" spans="1:21" ht="15" customHeight="1" x14ac:dyDescent="0.45">
      <c r="J12" s="13" t="s">
        <v>51</v>
      </c>
      <c r="K12" s="14">
        <f>COUNTIFS('ARIS Tasks'!A:A,"Phase 7",'ARIS Tasks'!E:E,"Done")</f>
        <v>0</v>
      </c>
      <c r="L12" s="14">
        <f>COUNTIF('ARIS Tasks'!A:A,"Phase 7")</f>
        <v>11</v>
      </c>
      <c r="Q12" s="13" t="s">
        <v>52</v>
      </c>
      <c r="R12" s="14">
        <f>COUNTIFS('DSA Tracker'!C:C,"Tries",'DSA Tracker'!E:E,"Done")</f>
        <v>0</v>
      </c>
    </row>
    <row r="13" spans="1:21" ht="15" customHeight="1" x14ac:dyDescent="0.45">
      <c r="J13" s="13" t="s">
        <v>53</v>
      </c>
      <c r="K13" s="14">
        <f>COUNTIFS('ARIS Tasks'!A:A,"Phase 8",'ARIS Tasks'!E:E,"Done")</f>
        <v>0</v>
      </c>
      <c r="L13" s="14">
        <f>COUNTIF('ARIS Tasks'!A:A,"Phase 8")</f>
        <v>10</v>
      </c>
      <c r="Q13" s="13" t="s">
        <v>54</v>
      </c>
      <c r="R13" s="14">
        <f>COUNTIFS('DSA Tracker'!C:C,"Heap",'DSA Tracker'!E:E,"Done")</f>
        <v>0</v>
      </c>
    </row>
    <row r="14" spans="1:21" ht="15" customHeight="1" x14ac:dyDescent="0.45">
      <c r="Q14" s="13" t="s">
        <v>55</v>
      </c>
      <c r="R14" s="14">
        <f>COUNTIFS('DSA Tracker'!C:C,"Backtracking",'DSA Tracker'!E:E,"Done")</f>
        <v>0</v>
      </c>
    </row>
    <row r="15" spans="1:21" ht="15" customHeight="1" x14ac:dyDescent="0.45">
      <c r="Q15" s="13" t="s">
        <v>56</v>
      </c>
      <c r="R15" s="14">
        <f>COUNTIFS('DSA Tracker'!C:C,"Graphs",'DSA Tracker'!E:E,"Done")</f>
        <v>0</v>
      </c>
    </row>
    <row r="16" spans="1:21" ht="15" customHeight="1" x14ac:dyDescent="0.45">
      <c r="Q16" s="13" t="s">
        <v>57</v>
      </c>
      <c r="R16" s="14">
        <f>COUNTIFS('DSA Tracker'!C:C,"Advanced Graphs",'DSA Tracker'!E:E,"Done")</f>
        <v>0</v>
      </c>
    </row>
    <row r="17" spans="17:18" ht="15" customHeight="1" x14ac:dyDescent="0.45">
      <c r="Q17" s="13" t="s">
        <v>58</v>
      </c>
      <c r="R17" s="14">
        <f>COUNTIFS('DSA Tracker'!C:C,"1-D DP",'DSA Tracker'!E:E,"Done")</f>
        <v>0</v>
      </c>
    </row>
    <row r="18" spans="17:18" ht="15" customHeight="1" x14ac:dyDescent="0.45">
      <c r="Q18" s="13" t="s">
        <v>59</v>
      </c>
      <c r="R18" s="14">
        <f>COUNTIFS('DSA Tracker'!C:C,"2-D DP",'DSA Tracker'!E:E,"Done")</f>
        <v>0</v>
      </c>
    </row>
    <row r="19" spans="17:18" ht="15" customHeight="1" x14ac:dyDescent="0.45">
      <c r="Q19" s="13" t="s">
        <v>60</v>
      </c>
      <c r="R19" s="14">
        <f>COUNTIFS('DSA Tracker'!C:C,"Greedy",'DSA Tracker'!E:E,"Done")</f>
        <v>0</v>
      </c>
    </row>
    <row r="20" spans="17:18" ht="15" customHeight="1" x14ac:dyDescent="0.45">
      <c r="Q20" s="13" t="s">
        <v>61</v>
      </c>
      <c r="R20" s="14">
        <f>COUNTIFS('DSA Tracker'!C:C,"Intervals",'DSA Tracker'!E:E,"Done")</f>
        <v>0</v>
      </c>
    </row>
    <row r="21" spans="17:18" ht="15" customHeight="1" x14ac:dyDescent="0.45">
      <c r="Q21" s="13" t="s">
        <v>62</v>
      </c>
      <c r="R21" s="14">
        <f>COUNTIFS('DSA Tracker'!C:C,"Math &amp; Geometry",'DSA Tracker'!E:E,"Done")</f>
        <v>0</v>
      </c>
    </row>
    <row r="22" spans="17:18" ht="15" customHeight="1" x14ac:dyDescent="0.45">
      <c r="Q22" s="13" t="s">
        <v>63</v>
      </c>
      <c r="R22" s="14">
        <f>COUNTIFS('DSA Tracker'!C:C,"Bit Manipulation",'DSA Tracker'!E:E,"Done")</f>
        <v>0</v>
      </c>
    </row>
    <row r="50" spans="1:8" ht="17.25" customHeight="1" x14ac:dyDescent="0.45">
      <c r="A50" s="5" t="s">
        <v>64</v>
      </c>
      <c r="B50" s="5"/>
      <c r="C50" s="5"/>
      <c r="D50" s="5"/>
      <c r="E50" s="5"/>
      <c r="F50" s="5"/>
      <c r="G50" s="5"/>
      <c r="H50" s="5"/>
    </row>
    <row r="52" spans="1:8" ht="15" customHeight="1" x14ac:dyDescent="0.45">
      <c r="A52" s="16" t="s">
        <v>65</v>
      </c>
      <c r="B52">
        <f ca="1">INDEX('Weekly Overview'!A:A,MATCH("Current",'Weekly Overview'!L:L,0))</f>
        <v>1</v>
      </c>
    </row>
    <row r="53" spans="1:8" ht="15" customHeight="1" x14ac:dyDescent="0.45">
      <c r="A53" s="16" t="s">
        <v>12</v>
      </c>
      <c r="B53" s="4" t="str">
        <f ca="1">INDEX('Weekly Overview'!B:B,MATCH("Current",'Weekly Overview'!L:L,0))</f>
        <v>Phase 1 — Python found.</v>
      </c>
      <c r="C53" s="4"/>
      <c r="D53" s="4"/>
      <c r="E53" s="4"/>
      <c r="F53" s="4"/>
      <c r="G53" s="4"/>
      <c r="H53" s="4"/>
    </row>
    <row r="54" spans="1:8" ht="15" customHeight="1" x14ac:dyDescent="0.45">
      <c r="A54" s="16" t="s">
        <v>66</v>
      </c>
      <c r="B54" s="4" t="str">
        <f ca="1">INDEX('Weekly Overview'!E:E,MATCH("Current",'Weekly Overview'!L:L,0))</f>
        <v>Day 1 ignition: Python, Boot.dev OOP, NumPy, repo init</v>
      </c>
      <c r="C54" s="4"/>
      <c r="D54" s="4"/>
      <c r="E54" s="4"/>
      <c r="F54" s="4"/>
      <c r="G54" s="4"/>
      <c r="H54" s="4"/>
    </row>
    <row r="55" spans="1:8" ht="15" customHeight="1" x14ac:dyDescent="0.45">
      <c r="A55" s="16" t="s">
        <v>67</v>
      </c>
      <c r="B55">
        <f ca="1">INDEX('Weekly Overview'!F:F,MATCH("Current",'Weekly Overview'!L:L,0))</f>
        <v>6</v>
      </c>
      <c r="C55" s="16" t="s">
        <v>13</v>
      </c>
      <c r="D55">
        <f ca="1">INDEX('Weekly Overview'!G:G,MATCH("Current",'Weekly Overview'!L:L,0))</f>
        <v>0</v>
      </c>
      <c r="E55" s="16" t="s">
        <v>68</v>
      </c>
      <c r="F55" s="17">
        <f ca="1">INDEX('Weekly Overview'!H:H,MATCH("Current",'Weekly Overview'!L:L,0))</f>
        <v>0</v>
      </c>
    </row>
    <row r="56" spans="1:8" ht="15" customHeight="1" x14ac:dyDescent="0.45">
      <c r="A56" s="16" t="s">
        <v>69</v>
      </c>
      <c r="B56">
        <f ca="1">INDEX('Weekly Overview'!K:K,MATCH("Current",'Weekly Overview'!L:L,0))</f>
        <v>0</v>
      </c>
      <c r="C56" s="16" t="s">
        <v>70</v>
      </c>
      <c r="D56">
        <f ca="1">INDEX('Weekly Overview'!J:J,MATCH("Current",'Weekly Overview'!L:L,0))</f>
        <v>0</v>
      </c>
      <c r="E56" s="16" t="s">
        <v>71</v>
      </c>
      <c r="F56">
        <f ca="1">INDEX('Weekly Overview'!I:I,MATCH("Current",'Weekly Overview'!L:L,0))</f>
        <v>5</v>
      </c>
    </row>
    <row r="60" spans="1:8" ht="15" customHeight="1" x14ac:dyDescent="0.45">
      <c r="A60" s="18" t="s">
        <v>72</v>
      </c>
    </row>
    <row r="61" spans="1:8" ht="15" customHeight="1" x14ac:dyDescent="0.45">
      <c r="A61" s="3" t="s">
        <v>73</v>
      </c>
      <c r="B61" s="3"/>
      <c r="C61" s="3"/>
      <c r="D61" s="3"/>
      <c r="E61" s="3"/>
      <c r="F61" s="3"/>
      <c r="G61" s="3"/>
      <c r="H61" s="3"/>
    </row>
    <row r="62" spans="1:8" ht="15" customHeight="1" x14ac:dyDescent="0.45">
      <c r="A62" s="3" t="s">
        <v>74</v>
      </c>
      <c r="B62" s="3"/>
      <c r="C62" s="3"/>
      <c r="D62" s="3"/>
      <c r="E62" s="3"/>
      <c r="F62" s="3"/>
      <c r="G62" s="3"/>
      <c r="H62" s="3"/>
    </row>
    <row r="63" spans="1:8" ht="15" customHeight="1" x14ac:dyDescent="0.45">
      <c r="A63" s="3" t="s">
        <v>75</v>
      </c>
      <c r="B63" s="3"/>
      <c r="C63" s="3"/>
      <c r="D63" s="3"/>
      <c r="E63" s="3"/>
      <c r="F63" s="3"/>
      <c r="G63" s="3"/>
      <c r="H63" s="3"/>
    </row>
    <row r="64" spans="1:8" ht="15" customHeight="1" x14ac:dyDescent="0.45">
      <c r="A64" s="3" t="s">
        <v>76</v>
      </c>
      <c r="B64" s="3"/>
      <c r="C64" s="3"/>
      <c r="D64" s="3"/>
      <c r="E64" s="3"/>
      <c r="F64" s="3"/>
      <c r="G64" s="3"/>
      <c r="H64" s="3"/>
    </row>
    <row r="65" spans="1:8" ht="15" customHeight="1" x14ac:dyDescent="0.45">
      <c r="A65" s="3" t="s">
        <v>77</v>
      </c>
      <c r="B65" s="3"/>
      <c r="C65" s="3"/>
      <c r="D65" s="3"/>
      <c r="E65" s="3"/>
      <c r="F65" s="3"/>
      <c r="G65" s="3"/>
      <c r="H65" s="3"/>
    </row>
    <row r="66" spans="1:8" ht="15" customHeight="1" x14ac:dyDescent="0.45">
      <c r="A66" s="3" t="s">
        <v>78</v>
      </c>
      <c r="B66" s="3"/>
      <c r="C66" s="3"/>
      <c r="D66" s="3"/>
      <c r="E66" s="3"/>
      <c r="F66" s="3"/>
      <c r="G66" s="3"/>
      <c r="H66" s="3"/>
    </row>
  </sheetData>
  <mergeCells count="11">
    <mergeCell ref="A66:H66"/>
    <mergeCell ref="A61:H61"/>
    <mergeCell ref="A62:H62"/>
    <mergeCell ref="A63:H63"/>
    <mergeCell ref="A64:H64"/>
    <mergeCell ref="A65:H65"/>
    <mergeCell ref="A1:H1"/>
    <mergeCell ref="A2:H2"/>
    <mergeCell ref="A50:H50"/>
    <mergeCell ref="B53:H53"/>
    <mergeCell ref="B54:H5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4"/>
  <sheetViews>
    <sheetView topLeftCell="B1" zoomScaleNormal="100" workbookViewId="0">
      <pane ySplit="1" topLeftCell="A2" activePane="bottomLeft" state="frozen"/>
      <selection pane="bottomLeft" activeCell="E18" sqref="E18"/>
    </sheetView>
  </sheetViews>
  <sheetFormatPr defaultColWidth="8.6640625" defaultRowHeight="14.25" x14ac:dyDescent="0.45"/>
  <cols>
    <col min="1" max="1" width="6" customWidth="1"/>
    <col min="2" max="2" width="22" customWidth="1"/>
    <col min="3" max="4" width="12" customWidth="1"/>
    <col min="5" max="5" width="50" customWidth="1"/>
    <col min="6" max="7" width="12" customWidth="1"/>
    <col min="8" max="8" width="8" customWidth="1"/>
    <col min="9" max="9" width="11" customWidth="1"/>
    <col min="10" max="10" width="10" customWidth="1"/>
    <col min="11" max="11" width="12" customWidth="1"/>
    <col min="12" max="12" width="11" customWidth="1"/>
  </cols>
  <sheetData>
    <row r="1" spans="1:12" ht="27.75" customHeight="1" x14ac:dyDescent="0.45">
      <c r="A1" s="10" t="s">
        <v>79</v>
      </c>
      <c r="B1" s="10" t="s">
        <v>12</v>
      </c>
      <c r="C1" s="10" t="s">
        <v>80</v>
      </c>
      <c r="D1" s="10" t="s">
        <v>81</v>
      </c>
      <c r="E1" s="10" t="s">
        <v>66</v>
      </c>
      <c r="F1" s="10" t="s">
        <v>82</v>
      </c>
      <c r="G1" s="10" t="s">
        <v>8</v>
      </c>
      <c r="H1" s="10" t="s">
        <v>9</v>
      </c>
      <c r="I1" s="10" t="s">
        <v>71</v>
      </c>
      <c r="J1" s="10" t="s">
        <v>70</v>
      </c>
      <c r="K1" s="10" t="s">
        <v>69</v>
      </c>
      <c r="L1" s="10" t="s">
        <v>83</v>
      </c>
    </row>
    <row r="2" spans="1:12" ht="15" customHeight="1" x14ac:dyDescent="0.45">
      <c r="A2" s="14">
        <v>0</v>
      </c>
      <c r="B2" s="13" t="s">
        <v>84</v>
      </c>
      <c r="C2" s="19">
        <v>46141</v>
      </c>
      <c r="D2" s="19">
        <v>46145</v>
      </c>
      <c r="E2" s="13" t="s">
        <v>85</v>
      </c>
      <c r="F2" s="14">
        <f>COUNTIF('ARIS Tasks'!B:B,A2)</f>
        <v>21</v>
      </c>
      <c r="G2" s="14">
        <f>COUNTIFS('ARIS Tasks'!B:B,A2,'ARIS Tasks'!E:E,"Done")</f>
        <v>10</v>
      </c>
      <c r="H2" s="20">
        <f t="shared" ref="H2:H24" si="0">IF(F2=0,0,G2/F2)</f>
        <v>0.47619047619047616</v>
      </c>
      <c r="I2" s="14">
        <f t="shared" ref="I2:I24" si="1">IF(A2=0,0,IF(A2&lt;=3,5,IF(A2&lt;=12,10,IF(A2&lt;=17,8,5))))</f>
        <v>0</v>
      </c>
      <c r="J2" s="14">
        <f>COUNTIFS('DSA Tracker'!F:F,"&gt;="&amp;C2,'DSA Tracker'!F:F,"&lt;="&amp;D2,'DSA Tracker'!E:E,"Done")</f>
        <v>0</v>
      </c>
      <c r="K2" s="14">
        <f>SUMIFS('Daily Log'!J:J,'Daily Log'!A:A,"&gt;="&amp;C2,'Daily Log'!A:A,"&lt;="&amp;D2)</f>
        <v>0</v>
      </c>
      <c r="L2" s="14" t="str">
        <f t="shared" ref="L2:L24" ca="1" si="2">IF(TODAY()&lt;C2,"Future",IF(TODAY()&gt;D2,IF(H2&gt;=0.9,"Complete","Past Due"),"Current"))</f>
        <v>Past Due</v>
      </c>
    </row>
    <row r="3" spans="1:12" ht="15" customHeight="1" x14ac:dyDescent="0.45">
      <c r="A3" s="14">
        <v>1</v>
      </c>
      <c r="B3" s="13" t="s">
        <v>86</v>
      </c>
      <c r="C3" s="19">
        <v>46146</v>
      </c>
      <c r="D3" s="19">
        <v>46152</v>
      </c>
      <c r="E3" s="13" t="s">
        <v>87</v>
      </c>
      <c r="F3" s="14">
        <f>COUNTIF('ARIS Tasks'!B:B,A3)</f>
        <v>6</v>
      </c>
      <c r="G3" s="14">
        <f>COUNTIFS('ARIS Tasks'!B:B,A3,'ARIS Tasks'!E:E,"Done")</f>
        <v>0</v>
      </c>
      <c r="H3" s="20">
        <f t="shared" si="0"/>
        <v>0</v>
      </c>
      <c r="I3" s="14">
        <f t="shared" si="1"/>
        <v>5</v>
      </c>
      <c r="J3" s="14">
        <f>COUNTIFS('DSA Tracker'!F:F,"&gt;="&amp;C3,'DSA Tracker'!F:F,"&lt;="&amp;D3,'DSA Tracker'!E:E,"Done")</f>
        <v>0</v>
      </c>
      <c r="K3" s="14">
        <v>0</v>
      </c>
      <c r="L3" s="14" t="str">
        <f t="shared" ca="1" si="2"/>
        <v>Current</v>
      </c>
    </row>
    <row r="4" spans="1:12" ht="15" customHeight="1" x14ac:dyDescent="0.45">
      <c r="A4" s="14">
        <v>2</v>
      </c>
      <c r="B4" s="13" t="s">
        <v>86</v>
      </c>
      <c r="C4" s="19">
        <v>46153</v>
      </c>
      <c r="D4" s="19">
        <v>46159</v>
      </c>
      <c r="E4" s="13" t="s">
        <v>88</v>
      </c>
      <c r="F4" s="14">
        <f>COUNTIF('ARIS Tasks'!B:B,A4)</f>
        <v>7</v>
      </c>
      <c r="G4" s="14">
        <f>COUNTIFS('ARIS Tasks'!B:B,A4,'ARIS Tasks'!E:E,"Done")</f>
        <v>0</v>
      </c>
      <c r="H4" s="20">
        <f t="shared" si="0"/>
        <v>0</v>
      </c>
      <c r="I4" s="14">
        <f t="shared" si="1"/>
        <v>5</v>
      </c>
      <c r="J4" s="14">
        <f>COUNTIFS('DSA Tracker'!F:F,"&gt;="&amp;C4,'DSA Tracker'!F:F,"&lt;="&amp;D4,'DSA Tracker'!E:E,"Done")</f>
        <v>0</v>
      </c>
      <c r="K4" s="14">
        <f>SUMIFS('Daily Log'!J:J,'Daily Log'!A:A,"&gt;="&amp;C4,'Daily Log'!A:A,"&lt;="&amp;D4)</f>
        <v>0</v>
      </c>
      <c r="L4" s="14" t="str">
        <f t="shared" ca="1" si="2"/>
        <v>Future</v>
      </c>
    </row>
    <row r="5" spans="1:12" ht="15" customHeight="1" x14ac:dyDescent="0.45">
      <c r="A5" s="14">
        <v>3</v>
      </c>
      <c r="B5" s="13" t="s">
        <v>89</v>
      </c>
      <c r="C5" s="19">
        <v>46160</v>
      </c>
      <c r="D5" s="19">
        <v>46166</v>
      </c>
      <c r="E5" s="13" t="s">
        <v>90</v>
      </c>
      <c r="F5" s="14">
        <f>COUNTIF('ARIS Tasks'!B:B,A5)</f>
        <v>6</v>
      </c>
      <c r="G5" s="14">
        <f>COUNTIFS('ARIS Tasks'!B:B,A5,'ARIS Tasks'!E:E,"Done")</f>
        <v>0</v>
      </c>
      <c r="H5" s="20">
        <f t="shared" si="0"/>
        <v>0</v>
      </c>
      <c r="I5" s="14">
        <f t="shared" si="1"/>
        <v>5</v>
      </c>
      <c r="J5" s="14">
        <f>COUNTIFS('DSA Tracker'!F:F,"&gt;="&amp;C5,'DSA Tracker'!F:F,"&lt;="&amp;D5,'DSA Tracker'!E:E,"Done")</f>
        <v>0</v>
      </c>
      <c r="K5" s="14">
        <f>SUMIFS('Daily Log'!J:J,'Daily Log'!A:A,"&gt;="&amp;C5,'Daily Log'!A:A,"&lt;="&amp;D5)</f>
        <v>0</v>
      </c>
      <c r="L5" s="14" t="str">
        <f t="shared" ca="1" si="2"/>
        <v>Future</v>
      </c>
    </row>
    <row r="6" spans="1:12" ht="15" customHeight="1" x14ac:dyDescent="0.45">
      <c r="A6" s="14">
        <v>4</v>
      </c>
      <c r="B6" s="13" t="s">
        <v>89</v>
      </c>
      <c r="C6" s="19">
        <v>46167</v>
      </c>
      <c r="D6" s="19">
        <v>46173</v>
      </c>
      <c r="E6" s="13" t="s">
        <v>91</v>
      </c>
      <c r="F6" s="14">
        <f>COUNTIF('ARIS Tasks'!B:B,A6)</f>
        <v>6</v>
      </c>
      <c r="G6" s="14">
        <f>COUNTIFS('ARIS Tasks'!B:B,A6,'ARIS Tasks'!E:E,"Done")</f>
        <v>0</v>
      </c>
      <c r="H6" s="20">
        <f t="shared" si="0"/>
        <v>0</v>
      </c>
      <c r="I6" s="14">
        <f t="shared" si="1"/>
        <v>10</v>
      </c>
      <c r="J6" s="14">
        <f>COUNTIFS('DSA Tracker'!F:F,"&gt;="&amp;C6,'DSA Tracker'!F:F,"&lt;="&amp;D6,'DSA Tracker'!E:E,"Done")</f>
        <v>0</v>
      </c>
      <c r="K6" s="14">
        <f>SUMIFS('Daily Log'!J:J,'Daily Log'!A:A,"&gt;="&amp;C6,'Daily Log'!A:A,"&lt;="&amp;D6)</f>
        <v>0</v>
      </c>
      <c r="L6" s="14" t="str">
        <f t="shared" ca="1" si="2"/>
        <v>Future</v>
      </c>
    </row>
    <row r="7" spans="1:12" ht="15" customHeight="1" x14ac:dyDescent="0.45">
      <c r="A7" s="14">
        <v>5</v>
      </c>
      <c r="B7" s="13" t="s">
        <v>92</v>
      </c>
      <c r="C7" s="19">
        <v>46174</v>
      </c>
      <c r="D7" s="19">
        <v>46180</v>
      </c>
      <c r="E7" s="13" t="s">
        <v>93</v>
      </c>
      <c r="F7" s="14">
        <f>COUNTIF('ARIS Tasks'!B:B,A7)</f>
        <v>6</v>
      </c>
      <c r="G7" s="14">
        <f>COUNTIFS('ARIS Tasks'!B:B,A7,'ARIS Tasks'!E:E,"Done")</f>
        <v>0</v>
      </c>
      <c r="H7" s="20">
        <f t="shared" si="0"/>
        <v>0</v>
      </c>
      <c r="I7" s="14">
        <f t="shared" si="1"/>
        <v>10</v>
      </c>
      <c r="J7" s="14">
        <f>COUNTIFS('DSA Tracker'!F:F,"&gt;="&amp;C7,'DSA Tracker'!F:F,"&lt;="&amp;D7,'DSA Tracker'!E:E,"Done")</f>
        <v>0</v>
      </c>
      <c r="K7" s="14">
        <f>SUMIFS('Daily Log'!J:J,'Daily Log'!A:A,"&gt;="&amp;C7,'Daily Log'!A:A,"&lt;="&amp;D7)</f>
        <v>0</v>
      </c>
      <c r="L7" s="14" t="str">
        <f t="shared" ca="1" si="2"/>
        <v>Future</v>
      </c>
    </row>
    <row r="8" spans="1:12" ht="15" customHeight="1" x14ac:dyDescent="0.45">
      <c r="A8" s="14">
        <v>6</v>
      </c>
      <c r="B8" s="13" t="s">
        <v>92</v>
      </c>
      <c r="C8" s="19">
        <v>46181</v>
      </c>
      <c r="D8" s="19">
        <v>46187</v>
      </c>
      <c r="E8" s="13" t="s">
        <v>94</v>
      </c>
      <c r="F8" s="14">
        <f>COUNTIF('ARIS Tasks'!B:B,A8)</f>
        <v>4</v>
      </c>
      <c r="G8" s="14">
        <f>COUNTIFS('ARIS Tasks'!B:B,A8,'ARIS Tasks'!E:E,"Done")</f>
        <v>0</v>
      </c>
      <c r="H8" s="20">
        <f t="shared" si="0"/>
        <v>0</v>
      </c>
      <c r="I8" s="14">
        <f t="shared" si="1"/>
        <v>10</v>
      </c>
      <c r="J8" s="14">
        <f>COUNTIFS('DSA Tracker'!F:F,"&gt;="&amp;C8,'DSA Tracker'!F:F,"&lt;="&amp;D8,'DSA Tracker'!E:E,"Done")</f>
        <v>0</v>
      </c>
      <c r="K8" s="14">
        <f>SUMIFS('Daily Log'!J:J,'Daily Log'!A:A,"&gt;="&amp;C8,'Daily Log'!A:A,"&lt;="&amp;D8)</f>
        <v>0</v>
      </c>
      <c r="L8" s="14" t="str">
        <f t="shared" ca="1" si="2"/>
        <v>Future</v>
      </c>
    </row>
    <row r="9" spans="1:12" ht="15" customHeight="1" x14ac:dyDescent="0.45">
      <c r="A9" s="14">
        <v>7</v>
      </c>
      <c r="B9" s="13" t="s">
        <v>92</v>
      </c>
      <c r="C9" s="19">
        <v>46188</v>
      </c>
      <c r="D9" s="19">
        <v>46194</v>
      </c>
      <c r="E9" s="13" t="s">
        <v>95</v>
      </c>
      <c r="F9" s="14">
        <f>COUNTIF('ARIS Tasks'!B:B,A9)</f>
        <v>8</v>
      </c>
      <c r="G9" s="14">
        <f>COUNTIFS('ARIS Tasks'!B:B,A9,'ARIS Tasks'!E:E,"Done")</f>
        <v>0</v>
      </c>
      <c r="H9" s="20">
        <f t="shared" si="0"/>
        <v>0</v>
      </c>
      <c r="I9" s="14">
        <f t="shared" si="1"/>
        <v>10</v>
      </c>
      <c r="J9" s="14">
        <f>COUNTIFS('DSA Tracker'!F:F,"&gt;="&amp;C9,'DSA Tracker'!F:F,"&lt;="&amp;D9,'DSA Tracker'!E:E,"Done")</f>
        <v>0</v>
      </c>
      <c r="K9" s="14">
        <f>SUMIFS('Daily Log'!J:J,'Daily Log'!A:A,"&gt;="&amp;C9,'Daily Log'!A:A,"&lt;="&amp;D9)</f>
        <v>0</v>
      </c>
      <c r="L9" s="14" t="str">
        <f t="shared" ca="1" si="2"/>
        <v>Future</v>
      </c>
    </row>
    <row r="10" spans="1:12" ht="15" customHeight="1" x14ac:dyDescent="0.45">
      <c r="A10" s="14">
        <v>8</v>
      </c>
      <c r="B10" s="13" t="s">
        <v>96</v>
      </c>
      <c r="C10" s="19">
        <v>46195</v>
      </c>
      <c r="D10" s="19">
        <v>46201</v>
      </c>
      <c r="E10" s="13" t="s">
        <v>97</v>
      </c>
      <c r="F10" s="14">
        <f>COUNTIF('ARIS Tasks'!B:B,A10)</f>
        <v>4</v>
      </c>
      <c r="G10" s="14">
        <f>COUNTIFS('ARIS Tasks'!B:B,A10,'ARIS Tasks'!E:E,"Done")</f>
        <v>0</v>
      </c>
      <c r="H10" s="20">
        <f t="shared" si="0"/>
        <v>0</v>
      </c>
      <c r="I10" s="14">
        <f t="shared" si="1"/>
        <v>10</v>
      </c>
      <c r="J10" s="14">
        <f>COUNTIFS('DSA Tracker'!F:F,"&gt;="&amp;C10,'DSA Tracker'!F:F,"&lt;="&amp;D10,'DSA Tracker'!E:E,"Done")</f>
        <v>0</v>
      </c>
      <c r="K10" s="14">
        <f>SUMIFS('Daily Log'!J:J,'Daily Log'!A:A,"&gt;="&amp;C10,'Daily Log'!A:A,"&lt;="&amp;D10)</f>
        <v>0</v>
      </c>
      <c r="L10" s="14" t="str">
        <f t="shared" ca="1" si="2"/>
        <v>Future</v>
      </c>
    </row>
    <row r="11" spans="1:12" ht="15" customHeight="1" x14ac:dyDescent="0.45">
      <c r="A11" s="14">
        <v>9</v>
      </c>
      <c r="B11" s="13" t="s">
        <v>96</v>
      </c>
      <c r="C11" s="19">
        <v>46202</v>
      </c>
      <c r="D11" s="19">
        <v>46208</v>
      </c>
      <c r="E11" s="13" t="s">
        <v>98</v>
      </c>
      <c r="F11" s="14">
        <f>COUNTIF('ARIS Tasks'!B:B,A11)</f>
        <v>5</v>
      </c>
      <c r="G11" s="14">
        <f>COUNTIFS('ARIS Tasks'!B:B,A11,'ARIS Tasks'!E:E,"Done")</f>
        <v>0</v>
      </c>
      <c r="H11" s="20">
        <f t="shared" si="0"/>
        <v>0</v>
      </c>
      <c r="I11" s="14">
        <f t="shared" si="1"/>
        <v>10</v>
      </c>
      <c r="J11" s="14">
        <f>COUNTIFS('DSA Tracker'!F:F,"&gt;="&amp;C11,'DSA Tracker'!F:F,"&lt;="&amp;D11,'DSA Tracker'!E:E,"Done")</f>
        <v>0</v>
      </c>
      <c r="K11" s="14">
        <f>SUMIFS('Daily Log'!J:J,'Daily Log'!A:A,"&gt;="&amp;C11,'Daily Log'!A:A,"&lt;="&amp;D11)</f>
        <v>0</v>
      </c>
      <c r="L11" s="14" t="str">
        <f t="shared" ca="1" si="2"/>
        <v>Future</v>
      </c>
    </row>
    <row r="12" spans="1:12" ht="15" customHeight="1" x14ac:dyDescent="0.45">
      <c r="A12" s="14">
        <v>10</v>
      </c>
      <c r="B12" s="13" t="s">
        <v>99</v>
      </c>
      <c r="C12" s="19">
        <v>46209</v>
      </c>
      <c r="D12" s="19">
        <v>46215</v>
      </c>
      <c r="E12" s="13" t="s">
        <v>100</v>
      </c>
      <c r="F12" s="14">
        <f>COUNTIF('ARIS Tasks'!B:B,A12)</f>
        <v>4</v>
      </c>
      <c r="G12" s="14">
        <f>COUNTIFS('ARIS Tasks'!B:B,A12,'ARIS Tasks'!E:E,"Done")</f>
        <v>0</v>
      </c>
      <c r="H12" s="20">
        <f t="shared" si="0"/>
        <v>0</v>
      </c>
      <c r="I12" s="14">
        <f t="shared" si="1"/>
        <v>10</v>
      </c>
      <c r="J12" s="14">
        <f>COUNTIFS('DSA Tracker'!F:F,"&gt;="&amp;C12,'DSA Tracker'!F:F,"&lt;="&amp;D12,'DSA Tracker'!E:E,"Done")</f>
        <v>0</v>
      </c>
      <c r="K12" s="14">
        <f>SUMIFS('Daily Log'!J:J,'Daily Log'!A:A,"&gt;="&amp;C12,'Daily Log'!A:A,"&lt;="&amp;D12)</f>
        <v>0</v>
      </c>
      <c r="L12" s="14" t="str">
        <f t="shared" ca="1" si="2"/>
        <v>Future</v>
      </c>
    </row>
    <row r="13" spans="1:12" ht="15" customHeight="1" x14ac:dyDescent="0.45">
      <c r="A13" s="14">
        <v>11</v>
      </c>
      <c r="B13" s="13" t="s">
        <v>99</v>
      </c>
      <c r="C13" s="19">
        <v>46216</v>
      </c>
      <c r="D13" s="19">
        <v>46222</v>
      </c>
      <c r="E13" s="13" t="s">
        <v>101</v>
      </c>
      <c r="F13" s="14">
        <f>COUNTIF('ARIS Tasks'!B:B,A13)</f>
        <v>5</v>
      </c>
      <c r="G13" s="14">
        <f>COUNTIFS('ARIS Tasks'!B:B,A13,'ARIS Tasks'!E:E,"Done")</f>
        <v>0</v>
      </c>
      <c r="H13" s="20">
        <f t="shared" si="0"/>
        <v>0</v>
      </c>
      <c r="I13" s="14">
        <f t="shared" si="1"/>
        <v>10</v>
      </c>
      <c r="J13" s="14">
        <f>COUNTIFS('DSA Tracker'!F:F,"&gt;="&amp;C13,'DSA Tracker'!F:F,"&lt;="&amp;D13,'DSA Tracker'!E:E,"Done")</f>
        <v>0</v>
      </c>
      <c r="K13" s="14">
        <f>SUMIFS('Daily Log'!J:J,'Daily Log'!A:A,"&gt;="&amp;C13,'Daily Log'!A:A,"&lt;="&amp;D13)</f>
        <v>0</v>
      </c>
      <c r="L13" s="14" t="str">
        <f t="shared" ca="1" si="2"/>
        <v>Future</v>
      </c>
    </row>
    <row r="14" spans="1:12" ht="15" customHeight="1" x14ac:dyDescent="0.45">
      <c r="A14" s="14">
        <v>12</v>
      </c>
      <c r="B14" s="13" t="s">
        <v>102</v>
      </c>
      <c r="C14" s="19">
        <v>46223</v>
      </c>
      <c r="D14" s="19">
        <v>46229</v>
      </c>
      <c r="E14" s="13" t="s">
        <v>103</v>
      </c>
      <c r="F14" s="14">
        <f>COUNTIF('ARIS Tasks'!B:B,A14)</f>
        <v>4</v>
      </c>
      <c r="G14" s="14">
        <f>COUNTIFS('ARIS Tasks'!B:B,A14,'ARIS Tasks'!E:E,"Done")</f>
        <v>0</v>
      </c>
      <c r="H14" s="20">
        <f t="shared" si="0"/>
        <v>0</v>
      </c>
      <c r="I14" s="14">
        <f t="shared" si="1"/>
        <v>10</v>
      </c>
      <c r="J14" s="14">
        <f>COUNTIFS('DSA Tracker'!F:F,"&gt;="&amp;C14,'DSA Tracker'!F:F,"&lt;="&amp;D14,'DSA Tracker'!E:E,"Done")</f>
        <v>0</v>
      </c>
      <c r="K14" s="14">
        <f>SUMIFS('Daily Log'!J:J,'Daily Log'!A:A,"&gt;="&amp;C14,'Daily Log'!A:A,"&lt;="&amp;D14)</f>
        <v>0</v>
      </c>
      <c r="L14" s="14" t="str">
        <f t="shared" ca="1" si="2"/>
        <v>Future</v>
      </c>
    </row>
    <row r="15" spans="1:12" ht="15" customHeight="1" x14ac:dyDescent="0.45">
      <c r="A15" s="14">
        <v>13</v>
      </c>
      <c r="B15" s="13" t="s">
        <v>102</v>
      </c>
      <c r="C15" s="19">
        <v>46230</v>
      </c>
      <c r="D15" s="19">
        <v>46236</v>
      </c>
      <c r="E15" s="13" t="s">
        <v>104</v>
      </c>
      <c r="F15" s="14">
        <f>COUNTIF('ARIS Tasks'!B:B,A15)</f>
        <v>5</v>
      </c>
      <c r="G15" s="14">
        <f>COUNTIFS('ARIS Tasks'!B:B,A15,'ARIS Tasks'!E:E,"Done")</f>
        <v>0</v>
      </c>
      <c r="H15" s="20">
        <f t="shared" si="0"/>
        <v>0</v>
      </c>
      <c r="I15" s="14">
        <f t="shared" si="1"/>
        <v>8</v>
      </c>
      <c r="J15" s="14">
        <f>COUNTIFS('DSA Tracker'!F:F,"&gt;="&amp;C15,'DSA Tracker'!F:F,"&lt;="&amp;D15,'DSA Tracker'!E:E,"Done")</f>
        <v>0</v>
      </c>
      <c r="K15" s="14">
        <f>SUMIFS('Daily Log'!J:J,'Daily Log'!A:A,"&gt;="&amp;C15,'Daily Log'!A:A,"&lt;="&amp;D15)</f>
        <v>0</v>
      </c>
      <c r="L15" s="14" t="str">
        <f t="shared" ca="1" si="2"/>
        <v>Future</v>
      </c>
    </row>
    <row r="16" spans="1:12" ht="15" customHeight="1" x14ac:dyDescent="0.45">
      <c r="A16" s="14">
        <v>14</v>
      </c>
      <c r="B16" s="13" t="s">
        <v>105</v>
      </c>
      <c r="C16" s="19">
        <v>46237</v>
      </c>
      <c r="D16" s="19">
        <v>46243</v>
      </c>
      <c r="E16" s="13" t="s">
        <v>106</v>
      </c>
      <c r="F16" s="14">
        <f>COUNTIF('ARIS Tasks'!B:B,A16)</f>
        <v>4</v>
      </c>
      <c r="G16" s="14">
        <f>COUNTIFS('ARIS Tasks'!B:B,A16,'ARIS Tasks'!E:E,"Done")</f>
        <v>0</v>
      </c>
      <c r="H16" s="20">
        <f t="shared" si="0"/>
        <v>0</v>
      </c>
      <c r="I16" s="14">
        <f t="shared" si="1"/>
        <v>8</v>
      </c>
      <c r="J16" s="14">
        <f>COUNTIFS('DSA Tracker'!F:F,"&gt;="&amp;C16,'DSA Tracker'!F:F,"&lt;="&amp;D16,'DSA Tracker'!E:E,"Done")</f>
        <v>0</v>
      </c>
      <c r="K16" s="14">
        <f>SUMIFS('Daily Log'!J:J,'Daily Log'!A:A,"&gt;="&amp;C16,'Daily Log'!A:A,"&lt;="&amp;D16)</f>
        <v>0</v>
      </c>
      <c r="L16" s="14" t="str">
        <f t="shared" ca="1" si="2"/>
        <v>Future</v>
      </c>
    </row>
    <row r="17" spans="1:12" ht="15" customHeight="1" x14ac:dyDescent="0.45">
      <c r="A17" s="14">
        <v>15</v>
      </c>
      <c r="B17" s="13" t="s">
        <v>105</v>
      </c>
      <c r="C17" s="19">
        <v>46244</v>
      </c>
      <c r="D17" s="19">
        <v>46250</v>
      </c>
      <c r="E17" s="13" t="s">
        <v>107</v>
      </c>
      <c r="F17" s="14">
        <f>COUNTIF('ARIS Tasks'!B:B,A17)</f>
        <v>7</v>
      </c>
      <c r="G17" s="14">
        <f>COUNTIFS('ARIS Tasks'!B:B,A17,'ARIS Tasks'!E:E,"Done")</f>
        <v>0</v>
      </c>
      <c r="H17" s="20">
        <f t="shared" si="0"/>
        <v>0</v>
      </c>
      <c r="I17" s="14">
        <f t="shared" si="1"/>
        <v>8</v>
      </c>
      <c r="J17" s="14">
        <f>COUNTIFS('DSA Tracker'!F:F,"&gt;="&amp;C17,'DSA Tracker'!F:F,"&lt;="&amp;D17,'DSA Tracker'!E:E,"Done")</f>
        <v>0</v>
      </c>
      <c r="K17" s="14">
        <f>SUMIFS('Daily Log'!J:J,'Daily Log'!A:A,"&gt;="&amp;C17,'Daily Log'!A:A,"&lt;="&amp;D17)</f>
        <v>0</v>
      </c>
      <c r="L17" s="14" t="str">
        <f t="shared" ca="1" si="2"/>
        <v>Future</v>
      </c>
    </row>
    <row r="18" spans="1:12" ht="15" customHeight="1" x14ac:dyDescent="0.45">
      <c r="A18" s="14">
        <v>16</v>
      </c>
      <c r="B18" s="13" t="s">
        <v>108</v>
      </c>
      <c r="C18" s="19">
        <v>46251</v>
      </c>
      <c r="D18" s="19">
        <v>46257</v>
      </c>
      <c r="E18" s="13" t="s">
        <v>109</v>
      </c>
      <c r="F18" s="14">
        <f>COUNTIF('ARIS Tasks'!B:B,A18)</f>
        <v>5</v>
      </c>
      <c r="G18" s="14">
        <f>COUNTIFS('ARIS Tasks'!B:B,A18,'ARIS Tasks'!E:E,"Done")</f>
        <v>0</v>
      </c>
      <c r="H18" s="20">
        <f t="shared" si="0"/>
        <v>0</v>
      </c>
      <c r="I18" s="14">
        <f t="shared" si="1"/>
        <v>8</v>
      </c>
      <c r="J18" s="14">
        <f>COUNTIFS('DSA Tracker'!F:F,"&gt;="&amp;C18,'DSA Tracker'!F:F,"&lt;="&amp;D18,'DSA Tracker'!E:E,"Done")</f>
        <v>0</v>
      </c>
      <c r="K18" s="14">
        <f>SUMIFS('Daily Log'!J:J,'Daily Log'!A:A,"&gt;="&amp;C18,'Daily Log'!A:A,"&lt;="&amp;D18)</f>
        <v>0</v>
      </c>
      <c r="L18" s="14" t="str">
        <f t="shared" ca="1" si="2"/>
        <v>Future</v>
      </c>
    </row>
    <row r="19" spans="1:12" ht="15" customHeight="1" x14ac:dyDescent="0.45">
      <c r="A19" s="14">
        <v>17</v>
      </c>
      <c r="B19" s="13" t="s">
        <v>108</v>
      </c>
      <c r="C19" s="19">
        <v>46258</v>
      </c>
      <c r="D19" s="19">
        <v>46265</v>
      </c>
      <c r="E19" s="13" t="s">
        <v>110</v>
      </c>
      <c r="F19" s="14">
        <f>COUNTIF('ARIS Tasks'!B:B,A19)</f>
        <v>5</v>
      </c>
      <c r="G19" s="14">
        <f>COUNTIFS('ARIS Tasks'!B:B,A19,'ARIS Tasks'!E:E,"Done")</f>
        <v>0</v>
      </c>
      <c r="H19" s="20">
        <f t="shared" si="0"/>
        <v>0</v>
      </c>
      <c r="I19" s="14">
        <f t="shared" si="1"/>
        <v>8</v>
      </c>
      <c r="J19" s="14">
        <f>COUNTIFS('DSA Tracker'!F:F,"&gt;="&amp;C19,'DSA Tracker'!F:F,"&lt;="&amp;D19,'DSA Tracker'!E:E,"Done")</f>
        <v>0</v>
      </c>
      <c r="K19" s="14">
        <f>SUMIFS('Daily Log'!J:J,'Daily Log'!A:A,"&gt;="&amp;C19,'Daily Log'!A:A,"&lt;="&amp;D19)</f>
        <v>0</v>
      </c>
      <c r="L19" s="14" t="str">
        <f t="shared" ca="1" si="2"/>
        <v>Future</v>
      </c>
    </row>
    <row r="20" spans="1:12" ht="15" customHeight="1" x14ac:dyDescent="0.45">
      <c r="A20" s="14">
        <v>18</v>
      </c>
      <c r="B20" s="13" t="s">
        <v>111</v>
      </c>
      <c r="C20" s="19">
        <v>46266</v>
      </c>
      <c r="D20" s="19">
        <v>46272</v>
      </c>
      <c r="E20" s="13" t="s">
        <v>112</v>
      </c>
      <c r="F20" s="14">
        <f>COUNTIF('ARIS Tasks'!B:B,A20)</f>
        <v>0</v>
      </c>
      <c r="G20" s="14">
        <f>COUNTIFS('ARIS Tasks'!B:B,A20,'ARIS Tasks'!E:E,"Done")</f>
        <v>0</v>
      </c>
      <c r="H20" s="20">
        <f t="shared" si="0"/>
        <v>0</v>
      </c>
      <c r="I20" s="14">
        <f t="shared" si="1"/>
        <v>5</v>
      </c>
      <c r="J20" s="14">
        <f>COUNTIFS('DSA Tracker'!F:F,"&gt;="&amp;C20,'DSA Tracker'!F:F,"&lt;="&amp;D20,'DSA Tracker'!E:E,"Done")</f>
        <v>0</v>
      </c>
      <c r="K20" s="14">
        <f>SUMIFS('Daily Log'!J:J,'Daily Log'!A:A,"&gt;="&amp;C20,'Daily Log'!A:A,"&lt;="&amp;D20)</f>
        <v>0</v>
      </c>
      <c r="L20" s="14" t="str">
        <f t="shared" ca="1" si="2"/>
        <v>Future</v>
      </c>
    </row>
    <row r="21" spans="1:12" ht="15" customHeight="1" x14ac:dyDescent="0.45">
      <c r="A21" s="14">
        <v>19</v>
      </c>
      <c r="B21" s="13" t="s">
        <v>111</v>
      </c>
      <c r="C21" s="19">
        <v>46273</v>
      </c>
      <c r="D21" s="19">
        <v>46279</v>
      </c>
      <c r="E21" s="13" t="s">
        <v>113</v>
      </c>
      <c r="F21" s="14">
        <f>COUNTIF('ARIS Tasks'!B:B,A21)</f>
        <v>0</v>
      </c>
      <c r="G21" s="14">
        <f>COUNTIFS('ARIS Tasks'!B:B,A21,'ARIS Tasks'!E:E,"Done")</f>
        <v>0</v>
      </c>
      <c r="H21" s="20">
        <f t="shared" si="0"/>
        <v>0</v>
      </c>
      <c r="I21" s="14">
        <f t="shared" si="1"/>
        <v>5</v>
      </c>
      <c r="J21" s="14">
        <f>COUNTIFS('DSA Tracker'!F:F,"&gt;="&amp;C21,'DSA Tracker'!F:F,"&lt;="&amp;D21,'DSA Tracker'!E:E,"Done")</f>
        <v>0</v>
      </c>
      <c r="K21" s="14">
        <f>SUMIFS('Daily Log'!J:J,'Daily Log'!A:A,"&gt;="&amp;C21,'Daily Log'!A:A,"&lt;="&amp;D21)</f>
        <v>0</v>
      </c>
      <c r="L21" s="14" t="str">
        <f t="shared" ca="1" si="2"/>
        <v>Future</v>
      </c>
    </row>
    <row r="22" spans="1:12" ht="15" customHeight="1" x14ac:dyDescent="0.45">
      <c r="A22" s="14">
        <v>20</v>
      </c>
      <c r="B22" s="13" t="s">
        <v>111</v>
      </c>
      <c r="C22" s="19">
        <v>46280</v>
      </c>
      <c r="D22" s="19">
        <v>46286</v>
      </c>
      <c r="E22" s="13" t="s">
        <v>114</v>
      </c>
      <c r="F22" s="14">
        <f>COUNTIF('ARIS Tasks'!B:B,A22)</f>
        <v>0</v>
      </c>
      <c r="G22" s="14">
        <f>COUNTIFS('ARIS Tasks'!B:B,A22,'ARIS Tasks'!E:E,"Done")</f>
        <v>0</v>
      </c>
      <c r="H22" s="20">
        <f t="shared" si="0"/>
        <v>0</v>
      </c>
      <c r="I22" s="14">
        <f t="shared" si="1"/>
        <v>5</v>
      </c>
      <c r="J22" s="14">
        <f>COUNTIFS('DSA Tracker'!F:F,"&gt;="&amp;C22,'DSA Tracker'!F:F,"&lt;="&amp;D22,'DSA Tracker'!E:E,"Done")</f>
        <v>0</v>
      </c>
      <c r="K22" s="14">
        <f>SUMIFS('Daily Log'!J:J,'Daily Log'!A:A,"&gt;="&amp;C22,'Daily Log'!A:A,"&lt;="&amp;D22)</f>
        <v>0</v>
      </c>
      <c r="L22" s="14" t="str">
        <f t="shared" ca="1" si="2"/>
        <v>Future</v>
      </c>
    </row>
    <row r="23" spans="1:12" ht="15" customHeight="1" x14ac:dyDescent="0.45">
      <c r="A23" s="14">
        <v>21</v>
      </c>
      <c r="B23" s="13" t="s">
        <v>111</v>
      </c>
      <c r="C23" s="19">
        <v>46287</v>
      </c>
      <c r="D23" s="19">
        <v>46293</v>
      </c>
      <c r="E23" s="13" t="s">
        <v>115</v>
      </c>
      <c r="F23" s="14">
        <f>COUNTIF('ARIS Tasks'!B:B,A23)</f>
        <v>0</v>
      </c>
      <c r="G23" s="14">
        <f>COUNTIFS('ARIS Tasks'!B:B,A23,'ARIS Tasks'!E:E,"Done")</f>
        <v>0</v>
      </c>
      <c r="H23" s="20">
        <f t="shared" si="0"/>
        <v>0</v>
      </c>
      <c r="I23" s="14">
        <f t="shared" si="1"/>
        <v>5</v>
      </c>
      <c r="J23" s="14">
        <f>COUNTIFS('DSA Tracker'!F:F,"&gt;="&amp;C23,'DSA Tracker'!F:F,"&lt;="&amp;D23,'DSA Tracker'!E:E,"Done")</f>
        <v>0</v>
      </c>
      <c r="K23" s="14">
        <f>SUMIFS('Daily Log'!J:J,'Daily Log'!A:A,"&gt;="&amp;C23,'Daily Log'!A:A,"&lt;="&amp;D23)</f>
        <v>0</v>
      </c>
      <c r="L23" s="14" t="str">
        <f t="shared" ca="1" si="2"/>
        <v>Future</v>
      </c>
    </row>
    <row r="24" spans="1:12" ht="15" customHeight="1" x14ac:dyDescent="0.45">
      <c r="A24" s="14">
        <v>22</v>
      </c>
      <c r="B24" s="13" t="s">
        <v>111</v>
      </c>
      <c r="C24" s="19">
        <v>46294</v>
      </c>
      <c r="D24" s="19">
        <v>46300</v>
      </c>
      <c r="E24" s="13" t="s">
        <v>116</v>
      </c>
      <c r="F24" s="14">
        <f>COUNTIF('ARIS Tasks'!B:B,A24)</f>
        <v>0</v>
      </c>
      <c r="G24" s="14">
        <f>COUNTIFS('ARIS Tasks'!B:B,A24,'ARIS Tasks'!E:E,"Done")</f>
        <v>0</v>
      </c>
      <c r="H24" s="20">
        <f t="shared" si="0"/>
        <v>0</v>
      </c>
      <c r="I24" s="14">
        <f t="shared" si="1"/>
        <v>5</v>
      </c>
      <c r="J24" s="14">
        <f>COUNTIFS('DSA Tracker'!F:F,"&gt;="&amp;C24,'DSA Tracker'!F:F,"&lt;="&amp;D24,'DSA Tracker'!E:E,"Done")</f>
        <v>0</v>
      </c>
      <c r="K24" s="14">
        <f>SUMIFS('Daily Log'!J:J,'Daily Log'!A:A,"&gt;="&amp;C24,'Daily Log'!A:A,"&lt;="&amp;D24)</f>
        <v>0</v>
      </c>
      <c r="L24" s="14" t="str">
        <f t="shared" ca="1" si="2"/>
        <v>Future</v>
      </c>
    </row>
  </sheetData>
  <conditionalFormatting sqref="H2:H24">
    <cfRule type="colorScale" priority="2">
      <colorScale>
        <cfvo type="num" val="0"/>
        <cfvo type="num" val="0.5"/>
        <cfvo type="num" val="1"/>
        <color rgb="FFFEE2E2"/>
        <color rgb="FFFEF3C7"/>
        <color rgb="FFD1FAE5"/>
      </colorScale>
    </cfRule>
  </conditionalFormatting>
  <conditionalFormatting sqref="L2:L24">
    <cfRule type="cellIs" dxfId="33" priority="3" operator="equal">
      <formula>"Complete"</formula>
    </cfRule>
    <cfRule type="cellIs" dxfId="32" priority="4" operator="equal">
      <formula>"Current"</formula>
    </cfRule>
    <cfRule type="cellIs" dxfId="31" priority="5" operator="equal">
      <formula>"Past Due"</formula>
    </cfRule>
    <cfRule type="cellIs" dxfId="30" priority="6" operator="equal">
      <formula>"Future"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01"/>
  <sheetViews>
    <sheetView tabSelected="1" zoomScaleNormal="100" workbookViewId="0">
      <pane ySplit="1" topLeftCell="A2" activePane="bottomLeft" state="frozen"/>
      <selection pane="bottomLeft" activeCell="I15" sqref="I15"/>
    </sheetView>
  </sheetViews>
  <sheetFormatPr defaultColWidth="8.6640625" defaultRowHeight="14.25" x14ac:dyDescent="0.45"/>
  <cols>
    <col min="1" max="1" width="12" customWidth="1"/>
    <col min="2" max="2" width="6" customWidth="1"/>
    <col min="3" max="4" width="10" customWidth="1"/>
    <col min="5" max="5" width="12" customWidth="1"/>
    <col min="6" max="6" width="13" customWidth="1"/>
    <col min="7" max="7" width="11" customWidth="1"/>
    <col min="8" max="8" width="13" customWidth="1"/>
    <col min="9" max="11" width="11" customWidth="1"/>
    <col min="12" max="12" width="10" customWidth="1"/>
    <col min="13" max="13" width="40" customWidth="1"/>
  </cols>
  <sheetData>
    <row r="1" spans="1:13" ht="27.75" customHeight="1" x14ac:dyDescent="0.45">
      <c r="A1" s="10" t="s">
        <v>117</v>
      </c>
      <c r="B1" s="10" t="s">
        <v>118</v>
      </c>
      <c r="C1" s="10" t="s">
        <v>119</v>
      </c>
      <c r="D1" s="10" t="s">
        <v>120</v>
      </c>
      <c r="E1" s="10" t="s">
        <v>121</v>
      </c>
      <c r="F1" s="10" t="s">
        <v>122</v>
      </c>
      <c r="G1" s="10" t="s">
        <v>123</v>
      </c>
      <c r="H1" s="10" t="s">
        <v>124</v>
      </c>
      <c r="I1" s="10" t="s">
        <v>125</v>
      </c>
      <c r="J1" s="10" t="s">
        <v>126</v>
      </c>
      <c r="K1" s="10" t="s">
        <v>127</v>
      </c>
      <c r="L1" s="10" t="s">
        <v>128</v>
      </c>
      <c r="M1" s="10" t="s">
        <v>129</v>
      </c>
    </row>
    <row r="2" spans="1:13" ht="15" customHeight="1" x14ac:dyDescent="0.45">
      <c r="A2" s="19">
        <v>46141</v>
      </c>
      <c r="B2" s="14" t="str">
        <f t="shared" ref="B2:B33" si="0">TEXT(A2,"ddd")</f>
        <v>Wed</v>
      </c>
      <c r="C2" s="14" t="s">
        <v>687</v>
      </c>
      <c r="D2" s="14" t="s">
        <v>687</v>
      </c>
      <c r="E2" s="14" t="s">
        <v>687</v>
      </c>
      <c r="F2" s="14" t="s">
        <v>687</v>
      </c>
      <c r="G2" s="14" t="s">
        <v>687</v>
      </c>
      <c r="H2" s="14" t="s">
        <v>687</v>
      </c>
      <c r="I2" s="14" t="s">
        <v>687</v>
      </c>
      <c r="J2" s="14">
        <f t="shared" ref="J2:J33" si="1">SUM(C2:I2)</f>
        <v>0</v>
      </c>
      <c r="K2" s="14">
        <f t="shared" ref="K2:K33" si="2">IF(WEEKDAY(A2,2)=7,0,6)</f>
        <v>6</v>
      </c>
      <c r="L2" s="14">
        <f t="shared" ref="L2:L33" si="3">J2-K2</f>
        <v>-6</v>
      </c>
      <c r="M2" s="13"/>
    </row>
    <row r="3" spans="1:13" ht="15" customHeight="1" x14ac:dyDescent="0.45">
      <c r="A3" s="19">
        <v>46142</v>
      </c>
      <c r="B3" s="14" t="str">
        <f t="shared" si="0"/>
        <v>Thu</v>
      </c>
      <c r="C3" s="14" t="s">
        <v>687</v>
      </c>
      <c r="D3" s="14" t="s">
        <v>687</v>
      </c>
      <c r="E3" s="14" t="s">
        <v>687</v>
      </c>
      <c r="F3" s="14" t="s">
        <v>687</v>
      </c>
      <c r="G3" s="14" t="s">
        <v>687</v>
      </c>
      <c r="H3" s="14" t="s">
        <v>687</v>
      </c>
      <c r="I3" s="14" t="s">
        <v>687</v>
      </c>
      <c r="J3" s="14">
        <f t="shared" si="1"/>
        <v>0</v>
      </c>
      <c r="K3" s="14">
        <f t="shared" si="2"/>
        <v>6</v>
      </c>
      <c r="L3" s="14">
        <f t="shared" si="3"/>
        <v>-6</v>
      </c>
      <c r="M3" s="13"/>
    </row>
    <row r="4" spans="1:13" ht="15" customHeight="1" x14ac:dyDescent="0.45">
      <c r="A4" s="19">
        <v>46143</v>
      </c>
      <c r="B4" s="14" t="str">
        <f t="shared" si="0"/>
        <v>Fri</v>
      </c>
      <c r="C4" s="14" t="s">
        <v>687</v>
      </c>
      <c r="D4" s="14" t="s">
        <v>687</v>
      </c>
      <c r="E4" s="14" t="s">
        <v>687</v>
      </c>
      <c r="F4" s="14" t="s">
        <v>687</v>
      </c>
      <c r="G4" s="14" t="s">
        <v>687</v>
      </c>
      <c r="H4" s="14" t="s">
        <v>687</v>
      </c>
      <c r="I4" s="14" t="s">
        <v>687</v>
      </c>
      <c r="J4" s="14">
        <f t="shared" si="1"/>
        <v>0</v>
      </c>
      <c r="K4" s="14">
        <f t="shared" si="2"/>
        <v>6</v>
      </c>
      <c r="L4" s="14">
        <f t="shared" si="3"/>
        <v>-6</v>
      </c>
      <c r="M4" s="13"/>
    </row>
    <row r="5" spans="1:13" ht="15" customHeight="1" x14ac:dyDescent="0.45">
      <c r="A5" s="19">
        <v>46144</v>
      </c>
      <c r="B5" s="14" t="str">
        <f t="shared" si="0"/>
        <v>Sat</v>
      </c>
      <c r="C5" s="14" t="s">
        <v>687</v>
      </c>
      <c r="D5" s="23" t="s">
        <v>687</v>
      </c>
      <c r="E5" s="14" t="s">
        <v>687</v>
      </c>
      <c r="F5" s="14" t="s">
        <v>687</v>
      </c>
      <c r="G5" s="14" t="s">
        <v>687</v>
      </c>
      <c r="H5" s="14" t="s">
        <v>687</v>
      </c>
      <c r="I5" s="14" t="s">
        <v>687</v>
      </c>
      <c r="J5" s="14">
        <f t="shared" si="1"/>
        <v>0</v>
      </c>
      <c r="K5" s="14">
        <f t="shared" si="2"/>
        <v>6</v>
      </c>
      <c r="L5" s="14">
        <f t="shared" si="3"/>
        <v>-6</v>
      </c>
      <c r="M5" s="13"/>
    </row>
    <row r="6" spans="1:13" ht="15" customHeight="1" x14ac:dyDescent="0.45">
      <c r="A6" s="19">
        <v>46145</v>
      </c>
      <c r="B6" s="14" t="str">
        <f t="shared" si="0"/>
        <v>Sun</v>
      </c>
      <c r="C6" s="14" t="s">
        <v>687</v>
      </c>
      <c r="D6" s="14" t="s">
        <v>687</v>
      </c>
      <c r="E6" s="14" t="s">
        <v>687</v>
      </c>
      <c r="F6" s="14" t="s">
        <v>687</v>
      </c>
      <c r="G6" s="14" t="s">
        <v>687</v>
      </c>
      <c r="H6" s="14" t="s">
        <v>687</v>
      </c>
      <c r="I6" s="14" t="s">
        <v>687</v>
      </c>
      <c r="J6" s="14">
        <f t="shared" si="1"/>
        <v>0</v>
      </c>
      <c r="K6" s="14">
        <f t="shared" si="2"/>
        <v>0</v>
      </c>
      <c r="L6" s="14">
        <f t="shared" si="3"/>
        <v>0</v>
      </c>
      <c r="M6" s="13"/>
    </row>
    <row r="7" spans="1:13" ht="15" customHeight="1" x14ac:dyDescent="0.45">
      <c r="A7" s="19">
        <v>46146</v>
      </c>
      <c r="B7" s="14" t="str">
        <f t="shared" si="0"/>
        <v>Mon</v>
      </c>
      <c r="C7" s="14" t="s">
        <v>687</v>
      </c>
      <c r="D7" s="14" t="s">
        <v>687</v>
      </c>
      <c r="E7" s="14" t="s">
        <v>687</v>
      </c>
      <c r="F7" s="14" t="s">
        <v>687</v>
      </c>
      <c r="G7" s="14" t="s">
        <v>687</v>
      </c>
      <c r="H7" s="14" t="s">
        <v>687</v>
      </c>
      <c r="I7" s="14" t="s">
        <v>687</v>
      </c>
      <c r="J7" s="14">
        <f t="shared" si="1"/>
        <v>0</v>
      </c>
      <c r="K7" s="14">
        <f t="shared" si="2"/>
        <v>6</v>
      </c>
      <c r="L7" s="14">
        <f t="shared" si="3"/>
        <v>-6</v>
      </c>
      <c r="M7" s="13"/>
    </row>
    <row r="8" spans="1:13" ht="15" customHeight="1" x14ac:dyDescent="0.45">
      <c r="A8" s="19">
        <v>46147</v>
      </c>
      <c r="B8" s="14" t="str">
        <f t="shared" si="0"/>
        <v>Tue</v>
      </c>
      <c r="C8" s="14" t="s">
        <v>687</v>
      </c>
      <c r="D8" s="14" t="s">
        <v>687</v>
      </c>
      <c r="E8" s="14" t="s">
        <v>687</v>
      </c>
      <c r="F8" s="14" t="s">
        <v>687</v>
      </c>
      <c r="G8" s="14" t="s">
        <v>687</v>
      </c>
      <c r="H8" s="14" t="s">
        <v>687</v>
      </c>
      <c r="I8" s="14" t="s">
        <v>687</v>
      </c>
      <c r="J8" s="14">
        <f t="shared" si="1"/>
        <v>0</v>
      </c>
      <c r="K8" s="14">
        <f t="shared" si="2"/>
        <v>6</v>
      </c>
      <c r="L8" s="14">
        <f t="shared" si="3"/>
        <v>-6</v>
      </c>
      <c r="M8" s="13"/>
    </row>
    <row r="9" spans="1:13" ht="15" customHeight="1" x14ac:dyDescent="0.45">
      <c r="A9" s="19">
        <v>46148</v>
      </c>
      <c r="B9" s="14" t="str">
        <f t="shared" si="0"/>
        <v>Wed</v>
      </c>
      <c r="C9" s="14" t="s">
        <v>687</v>
      </c>
      <c r="D9" s="14" t="s">
        <v>687</v>
      </c>
      <c r="E9" s="14" t="s">
        <v>687</v>
      </c>
      <c r="F9" s="14" t="s">
        <v>687</v>
      </c>
      <c r="G9" s="14" t="s">
        <v>687</v>
      </c>
      <c r="H9" s="14" t="s">
        <v>687</v>
      </c>
      <c r="I9" s="14" t="s">
        <v>687</v>
      </c>
      <c r="J9" s="14">
        <f t="shared" si="1"/>
        <v>0</v>
      </c>
      <c r="K9" s="14">
        <f t="shared" si="2"/>
        <v>6</v>
      </c>
      <c r="L9" s="14">
        <f t="shared" si="3"/>
        <v>-6</v>
      </c>
      <c r="M9" s="13"/>
    </row>
    <row r="10" spans="1:13" ht="15" customHeight="1" x14ac:dyDescent="0.45">
      <c r="A10" s="19">
        <v>46149</v>
      </c>
      <c r="B10" s="14" t="str">
        <f t="shared" si="0"/>
        <v>Thu</v>
      </c>
      <c r="C10" s="14"/>
      <c r="D10" s="14"/>
      <c r="E10" s="14"/>
      <c r="F10" s="14"/>
      <c r="G10" s="14"/>
      <c r="H10" s="14"/>
      <c r="I10" s="14"/>
      <c r="J10" s="14">
        <f t="shared" si="1"/>
        <v>0</v>
      </c>
      <c r="K10" s="14">
        <f t="shared" si="2"/>
        <v>6</v>
      </c>
      <c r="L10" s="14">
        <f t="shared" si="3"/>
        <v>-6</v>
      </c>
      <c r="M10" s="13"/>
    </row>
    <row r="11" spans="1:13" ht="15" customHeight="1" x14ac:dyDescent="0.45">
      <c r="A11" s="19">
        <v>46150</v>
      </c>
      <c r="B11" s="14" t="str">
        <f t="shared" si="0"/>
        <v>Fri</v>
      </c>
      <c r="C11" s="14"/>
      <c r="D11" s="14"/>
      <c r="E11" s="14"/>
      <c r="F11" s="14"/>
      <c r="G11" s="14"/>
      <c r="H11" s="14"/>
      <c r="I11" s="14"/>
      <c r="J11" s="14">
        <f t="shared" si="1"/>
        <v>0</v>
      </c>
      <c r="K11" s="14">
        <f t="shared" si="2"/>
        <v>6</v>
      </c>
      <c r="L11" s="14">
        <f t="shared" si="3"/>
        <v>-6</v>
      </c>
      <c r="M11" s="13"/>
    </row>
    <row r="12" spans="1:13" ht="15" customHeight="1" x14ac:dyDescent="0.45">
      <c r="A12" s="19">
        <v>46151</v>
      </c>
      <c r="B12" s="14" t="str">
        <f t="shared" si="0"/>
        <v>Sat</v>
      </c>
      <c r="C12" s="14"/>
      <c r="D12" s="14"/>
      <c r="E12" s="14"/>
      <c r="F12" s="14"/>
      <c r="G12" s="14"/>
      <c r="H12" s="14"/>
      <c r="I12" s="14"/>
      <c r="J12" s="14">
        <f t="shared" si="1"/>
        <v>0</v>
      </c>
      <c r="K12" s="14">
        <f t="shared" si="2"/>
        <v>6</v>
      </c>
      <c r="L12" s="14">
        <f t="shared" si="3"/>
        <v>-6</v>
      </c>
      <c r="M12" s="13"/>
    </row>
    <row r="13" spans="1:13" ht="15" customHeight="1" x14ac:dyDescent="0.45">
      <c r="A13" s="19">
        <v>46152</v>
      </c>
      <c r="B13" s="14" t="str">
        <f t="shared" si="0"/>
        <v>Sun</v>
      </c>
      <c r="C13" s="14"/>
      <c r="D13" s="14"/>
      <c r="E13" s="14"/>
      <c r="F13" s="14"/>
      <c r="G13" s="14"/>
      <c r="H13" s="14"/>
      <c r="I13" s="14"/>
      <c r="J13" s="14">
        <f t="shared" si="1"/>
        <v>0</v>
      </c>
      <c r="K13" s="14">
        <f t="shared" si="2"/>
        <v>0</v>
      </c>
      <c r="L13" s="14">
        <f t="shared" si="3"/>
        <v>0</v>
      </c>
      <c r="M13" s="13"/>
    </row>
    <row r="14" spans="1:13" ht="15" customHeight="1" x14ac:dyDescent="0.45">
      <c r="A14" s="19">
        <v>46153</v>
      </c>
      <c r="B14" s="14" t="str">
        <f t="shared" si="0"/>
        <v>Mon</v>
      </c>
      <c r="C14" s="14"/>
      <c r="D14" s="14"/>
      <c r="E14" s="14"/>
      <c r="F14" s="14"/>
      <c r="G14" s="14"/>
      <c r="H14" s="14"/>
      <c r="I14" s="14"/>
      <c r="J14" s="14">
        <f t="shared" si="1"/>
        <v>0</v>
      </c>
      <c r="K14" s="14">
        <f t="shared" si="2"/>
        <v>6</v>
      </c>
      <c r="L14" s="14">
        <f t="shared" si="3"/>
        <v>-6</v>
      </c>
      <c r="M14" s="13"/>
    </row>
    <row r="15" spans="1:13" ht="15" customHeight="1" x14ac:dyDescent="0.45">
      <c r="A15" s="19">
        <v>46154</v>
      </c>
      <c r="B15" s="14" t="str">
        <f t="shared" si="0"/>
        <v>Tue</v>
      </c>
      <c r="C15" s="14"/>
      <c r="D15" s="14"/>
      <c r="E15" s="14"/>
      <c r="F15" s="14"/>
      <c r="G15" s="14"/>
      <c r="H15" s="14"/>
      <c r="I15" s="14"/>
      <c r="J15" s="14">
        <f t="shared" si="1"/>
        <v>0</v>
      </c>
      <c r="K15" s="14">
        <f t="shared" si="2"/>
        <v>6</v>
      </c>
      <c r="L15" s="14">
        <f t="shared" si="3"/>
        <v>-6</v>
      </c>
      <c r="M15" s="13"/>
    </row>
    <row r="16" spans="1:13" ht="15" customHeight="1" x14ac:dyDescent="0.45">
      <c r="A16" s="19">
        <v>46155</v>
      </c>
      <c r="B16" s="14" t="str">
        <f t="shared" si="0"/>
        <v>Wed</v>
      </c>
      <c r="C16" s="14"/>
      <c r="D16" s="14"/>
      <c r="E16" s="14"/>
      <c r="F16" s="14"/>
      <c r="G16" s="14"/>
      <c r="H16" s="14"/>
      <c r="I16" s="14"/>
      <c r="J16" s="14">
        <f t="shared" si="1"/>
        <v>0</v>
      </c>
      <c r="K16" s="14">
        <f t="shared" si="2"/>
        <v>6</v>
      </c>
      <c r="L16" s="14">
        <f t="shared" si="3"/>
        <v>-6</v>
      </c>
      <c r="M16" s="13"/>
    </row>
    <row r="17" spans="1:13" ht="15" customHeight="1" x14ac:dyDescent="0.45">
      <c r="A17" s="19">
        <v>46156</v>
      </c>
      <c r="B17" s="14" t="str">
        <f t="shared" si="0"/>
        <v>Thu</v>
      </c>
      <c r="C17" s="14"/>
      <c r="D17" s="14"/>
      <c r="E17" s="14"/>
      <c r="F17" s="14"/>
      <c r="G17" s="14"/>
      <c r="H17" s="14"/>
      <c r="I17" s="14"/>
      <c r="J17" s="14">
        <f t="shared" si="1"/>
        <v>0</v>
      </c>
      <c r="K17" s="14">
        <f t="shared" si="2"/>
        <v>6</v>
      </c>
      <c r="L17" s="14">
        <f t="shared" si="3"/>
        <v>-6</v>
      </c>
      <c r="M17" s="13"/>
    </row>
    <row r="18" spans="1:13" ht="15" customHeight="1" x14ac:dyDescent="0.45">
      <c r="A18" s="19">
        <v>46157</v>
      </c>
      <c r="B18" s="14" t="str">
        <f t="shared" si="0"/>
        <v>Fri</v>
      </c>
      <c r="C18" s="14"/>
      <c r="D18" s="14"/>
      <c r="E18" s="14"/>
      <c r="F18" s="14"/>
      <c r="G18" s="14"/>
      <c r="H18" s="14"/>
      <c r="I18" s="14"/>
      <c r="J18" s="14">
        <f t="shared" si="1"/>
        <v>0</v>
      </c>
      <c r="K18" s="14">
        <f t="shared" si="2"/>
        <v>6</v>
      </c>
      <c r="L18" s="14">
        <f t="shared" si="3"/>
        <v>-6</v>
      </c>
      <c r="M18" s="13"/>
    </row>
    <row r="19" spans="1:13" ht="15" customHeight="1" x14ac:dyDescent="0.45">
      <c r="A19" s="19">
        <v>46158</v>
      </c>
      <c r="B19" s="14" t="str">
        <f t="shared" si="0"/>
        <v>Sat</v>
      </c>
      <c r="C19" s="14"/>
      <c r="D19" s="14"/>
      <c r="E19" s="14"/>
      <c r="F19" s="14"/>
      <c r="G19" s="14"/>
      <c r="H19" s="14"/>
      <c r="I19" s="14"/>
      <c r="J19" s="14">
        <f t="shared" si="1"/>
        <v>0</v>
      </c>
      <c r="K19" s="14">
        <f t="shared" si="2"/>
        <v>6</v>
      </c>
      <c r="L19" s="14">
        <f t="shared" si="3"/>
        <v>-6</v>
      </c>
      <c r="M19" s="13"/>
    </row>
    <row r="20" spans="1:13" ht="15" customHeight="1" x14ac:dyDescent="0.45">
      <c r="A20" s="19">
        <v>46159</v>
      </c>
      <c r="B20" s="14" t="str">
        <f t="shared" si="0"/>
        <v>Sun</v>
      </c>
      <c r="C20" s="14"/>
      <c r="D20" s="14"/>
      <c r="E20" s="14"/>
      <c r="F20" s="14"/>
      <c r="G20" s="14"/>
      <c r="H20" s="14"/>
      <c r="I20" s="14"/>
      <c r="J20" s="14">
        <f t="shared" si="1"/>
        <v>0</v>
      </c>
      <c r="K20" s="14">
        <f t="shared" si="2"/>
        <v>0</v>
      </c>
      <c r="L20" s="14">
        <f t="shared" si="3"/>
        <v>0</v>
      </c>
      <c r="M20" s="13"/>
    </row>
    <row r="21" spans="1:13" ht="15" customHeight="1" x14ac:dyDescent="0.45">
      <c r="A21" s="19">
        <v>46160</v>
      </c>
      <c r="B21" s="14" t="str">
        <f t="shared" si="0"/>
        <v>Mon</v>
      </c>
      <c r="C21" s="14"/>
      <c r="D21" s="14"/>
      <c r="E21" s="14"/>
      <c r="F21" s="14"/>
      <c r="G21" s="14"/>
      <c r="H21" s="14"/>
      <c r="I21" s="14"/>
      <c r="J21" s="14">
        <f t="shared" si="1"/>
        <v>0</v>
      </c>
      <c r="K21" s="14">
        <f t="shared" si="2"/>
        <v>6</v>
      </c>
      <c r="L21" s="14">
        <f t="shared" si="3"/>
        <v>-6</v>
      </c>
      <c r="M21" s="13"/>
    </row>
    <row r="22" spans="1:13" ht="15" customHeight="1" x14ac:dyDescent="0.45">
      <c r="A22" s="19">
        <v>46161</v>
      </c>
      <c r="B22" s="14" t="str">
        <f t="shared" si="0"/>
        <v>Tue</v>
      </c>
      <c r="C22" s="14"/>
      <c r="D22" s="14"/>
      <c r="E22" s="14"/>
      <c r="F22" s="14"/>
      <c r="G22" s="14"/>
      <c r="H22" s="14"/>
      <c r="I22" s="14"/>
      <c r="J22" s="14">
        <f t="shared" si="1"/>
        <v>0</v>
      </c>
      <c r="K22" s="14">
        <f t="shared" si="2"/>
        <v>6</v>
      </c>
      <c r="L22" s="14">
        <f t="shared" si="3"/>
        <v>-6</v>
      </c>
      <c r="M22" s="13"/>
    </row>
    <row r="23" spans="1:13" ht="15" customHeight="1" x14ac:dyDescent="0.45">
      <c r="A23" s="19">
        <v>46162</v>
      </c>
      <c r="B23" s="14" t="str">
        <f t="shared" si="0"/>
        <v>Wed</v>
      </c>
      <c r="C23" s="14"/>
      <c r="D23" s="14"/>
      <c r="E23" s="14"/>
      <c r="F23" s="14"/>
      <c r="G23" s="14"/>
      <c r="H23" s="14"/>
      <c r="I23" s="14"/>
      <c r="J23" s="14">
        <f t="shared" si="1"/>
        <v>0</v>
      </c>
      <c r="K23" s="14">
        <f t="shared" si="2"/>
        <v>6</v>
      </c>
      <c r="L23" s="14">
        <f t="shared" si="3"/>
        <v>-6</v>
      </c>
      <c r="M23" s="13"/>
    </row>
    <row r="24" spans="1:13" ht="15" customHeight="1" x14ac:dyDescent="0.45">
      <c r="A24" s="19">
        <v>46163</v>
      </c>
      <c r="B24" s="14" t="str">
        <f t="shared" si="0"/>
        <v>Thu</v>
      </c>
      <c r="C24" s="14"/>
      <c r="D24" s="14"/>
      <c r="E24" s="14"/>
      <c r="F24" s="14"/>
      <c r="G24" s="14"/>
      <c r="H24" s="14"/>
      <c r="I24" s="14"/>
      <c r="J24" s="14">
        <f t="shared" si="1"/>
        <v>0</v>
      </c>
      <c r="K24" s="14">
        <f t="shared" si="2"/>
        <v>6</v>
      </c>
      <c r="L24" s="14">
        <f t="shared" si="3"/>
        <v>-6</v>
      </c>
      <c r="M24" s="13"/>
    </row>
    <row r="25" spans="1:13" ht="15" customHeight="1" x14ac:dyDescent="0.45">
      <c r="A25" s="19">
        <v>46164</v>
      </c>
      <c r="B25" s="14" t="str">
        <f t="shared" si="0"/>
        <v>Fri</v>
      </c>
      <c r="C25" s="14"/>
      <c r="D25" s="14"/>
      <c r="E25" s="14"/>
      <c r="F25" s="14"/>
      <c r="G25" s="14"/>
      <c r="H25" s="14"/>
      <c r="I25" s="14"/>
      <c r="J25" s="14">
        <f t="shared" si="1"/>
        <v>0</v>
      </c>
      <c r="K25" s="14">
        <f t="shared" si="2"/>
        <v>6</v>
      </c>
      <c r="L25" s="14">
        <f t="shared" si="3"/>
        <v>-6</v>
      </c>
      <c r="M25" s="13"/>
    </row>
    <row r="26" spans="1:13" ht="15" customHeight="1" x14ac:dyDescent="0.45">
      <c r="A26" s="19">
        <v>46165</v>
      </c>
      <c r="B26" s="14" t="str">
        <f t="shared" si="0"/>
        <v>Sat</v>
      </c>
      <c r="C26" s="14"/>
      <c r="D26" s="14"/>
      <c r="E26" s="14"/>
      <c r="F26" s="14"/>
      <c r="G26" s="14"/>
      <c r="H26" s="14"/>
      <c r="I26" s="14"/>
      <c r="J26" s="14">
        <f t="shared" si="1"/>
        <v>0</v>
      </c>
      <c r="K26" s="14">
        <f t="shared" si="2"/>
        <v>6</v>
      </c>
      <c r="L26" s="14">
        <f t="shared" si="3"/>
        <v>-6</v>
      </c>
      <c r="M26" s="13"/>
    </row>
    <row r="27" spans="1:13" ht="15" customHeight="1" x14ac:dyDescent="0.45">
      <c r="A27" s="19">
        <v>46166</v>
      </c>
      <c r="B27" s="14" t="str">
        <f t="shared" si="0"/>
        <v>Sun</v>
      </c>
      <c r="C27" s="14"/>
      <c r="D27" s="14"/>
      <c r="E27" s="14"/>
      <c r="F27" s="14"/>
      <c r="G27" s="14"/>
      <c r="H27" s="14"/>
      <c r="I27" s="14"/>
      <c r="J27" s="14">
        <f t="shared" si="1"/>
        <v>0</v>
      </c>
      <c r="K27" s="14">
        <f t="shared" si="2"/>
        <v>0</v>
      </c>
      <c r="L27" s="14">
        <f t="shared" si="3"/>
        <v>0</v>
      </c>
      <c r="M27" s="13"/>
    </row>
    <row r="28" spans="1:13" ht="15" customHeight="1" x14ac:dyDescent="0.45">
      <c r="A28" s="19">
        <v>46167</v>
      </c>
      <c r="B28" s="14" t="str">
        <f t="shared" si="0"/>
        <v>Mon</v>
      </c>
      <c r="C28" s="14"/>
      <c r="D28" s="14"/>
      <c r="E28" s="14"/>
      <c r="F28" s="14"/>
      <c r="G28" s="14"/>
      <c r="H28" s="14"/>
      <c r="I28" s="14"/>
      <c r="J28" s="14">
        <f t="shared" si="1"/>
        <v>0</v>
      </c>
      <c r="K28" s="14">
        <f t="shared" si="2"/>
        <v>6</v>
      </c>
      <c r="L28" s="14">
        <f t="shared" si="3"/>
        <v>-6</v>
      </c>
      <c r="M28" s="13"/>
    </row>
    <row r="29" spans="1:13" ht="15" customHeight="1" x14ac:dyDescent="0.45">
      <c r="A29" s="19">
        <v>46168</v>
      </c>
      <c r="B29" s="14" t="str">
        <f t="shared" si="0"/>
        <v>Tue</v>
      </c>
      <c r="C29" s="14"/>
      <c r="D29" s="14"/>
      <c r="E29" s="14"/>
      <c r="F29" s="14"/>
      <c r="G29" s="14"/>
      <c r="H29" s="14"/>
      <c r="I29" s="14"/>
      <c r="J29" s="14">
        <f t="shared" si="1"/>
        <v>0</v>
      </c>
      <c r="K29" s="14">
        <f t="shared" si="2"/>
        <v>6</v>
      </c>
      <c r="L29" s="14">
        <f t="shared" si="3"/>
        <v>-6</v>
      </c>
      <c r="M29" s="13"/>
    </row>
    <row r="30" spans="1:13" ht="15" customHeight="1" x14ac:dyDescent="0.45">
      <c r="A30" s="19">
        <v>46169</v>
      </c>
      <c r="B30" s="14" t="str">
        <f t="shared" si="0"/>
        <v>Wed</v>
      </c>
      <c r="C30" s="14"/>
      <c r="D30" s="14"/>
      <c r="E30" s="14"/>
      <c r="F30" s="14"/>
      <c r="G30" s="14"/>
      <c r="H30" s="14"/>
      <c r="I30" s="14"/>
      <c r="J30" s="14">
        <f t="shared" si="1"/>
        <v>0</v>
      </c>
      <c r="K30" s="14">
        <f t="shared" si="2"/>
        <v>6</v>
      </c>
      <c r="L30" s="14">
        <f t="shared" si="3"/>
        <v>-6</v>
      </c>
      <c r="M30" s="13"/>
    </row>
    <row r="31" spans="1:13" ht="15" customHeight="1" x14ac:dyDescent="0.45">
      <c r="A31" s="19">
        <v>46170</v>
      </c>
      <c r="B31" s="14" t="str">
        <f t="shared" si="0"/>
        <v>Thu</v>
      </c>
      <c r="C31" s="14"/>
      <c r="D31" s="14"/>
      <c r="E31" s="14"/>
      <c r="F31" s="14"/>
      <c r="G31" s="14"/>
      <c r="H31" s="14"/>
      <c r="I31" s="14"/>
      <c r="J31" s="14">
        <f t="shared" si="1"/>
        <v>0</v>
      </c>
      <c r="K31" s="14">
        <f t="shared" si="2"/>
        <v>6</v>
      </c>
      <c r="L31" s="14">
        <f t="shared" si="3"/>
        <v>-6</v>
      </c>
      <c r="M31" s="13"/>
    </row>
    <row r="32" spans="1:13" ht="15" customHeight="1" x14ac:dyDescent="0.45">
      <c r="A32" s="19">
        <v>46171</v>
      </c>
      <c r="B32" s="14" t="str">
        <f t="shared" si="0"/>
        <v>Fri</v>
      </c>
      <c r="C32" s="14"/>
      <c r="D32" s="14"/>
      <c r="E32" s="14"/>
      <c r="F32" s="14"/>
      <c r="G32" s="14"/>
      <c r="H32" s="14"/>
      <c r="I32" s="14"/>
      <c r="J32" s="14">
        <f t="shared" si="1"/>
        <v>0</v>
      </c>
      <c r="K32" s="14">
        <f t="shared" si="2"/>
        <v>6</v>
      </c>
      <c r="L32" s="14">
        <f t="shared" si="3"/>
        <v>-6</v>
      </c>
      <c r="M32" s="13"/>
    </row>
    <row r="33" spans="1:13" ht="15" customHeight="1" x14ac:dyDescent="0.45">
      <c r="A33" s="19">
        <v>46172</v>
      </c>
      <c r="B33" s="14" t="str">
        <f t="shared" si="0"/>
        <v>Sat</v>
      </c>
      <c r="C33" s="14"/>
      <c r="D33" s="14"/>
      <c r="E33" s="14"/>
      <c r="F33" s="14"/>
      <c r="G33" s="14"/>
      <c r="H33" s="14"/>
      <c r="I33" s="14"/>
      <c r="J33" s="14">
        <f t="shared" si="1"/>
        <v>0</v>
      </c>
      <c r="K33" s="14">
        <f t="shared" si="2"/>
        <v>6</v>
      </c>
      <c r="L33" s="14">
        <f t="shared" si="3"/>
        <v>-6</v>
      </c>
      <c r="M33" s="13"/>
    </row>
    <row r="34" spans="1:13" ht="15" customHeight="1" x14ac:dyDescent="0.45">
      <c r="A34" s="19">
        <v>46173</v>
      </c>
      <c r="B34" s="14" t="str">
        <f t="shared" ref="B34:B65" si="4">TEXT(A34,"ddd")</f>
        <v>Sun</v>
      </c>
      <c r="C34" s="14"/>
      <c r="D34" s="14"/>
      <c r="E34" s="14"/>
      <c r="F34" s="14"/>
      <c r="G34" s="14"/>
      <c r="H34" s="14"/>
      <c r="I34" s="14"/>
      <c r="J34" s="14">
        <f t="shared" ref="J34:J65" si="5">SUM(C34:I34)</f>
        <v>0</v>
      </c>
      <c r="K34" s="14">
        <f t="shared" ref="K34:K65" si="6">IF(WEEKDAY(A34,2)=7,0,6)</f>
        <v>0</v>
      </c>
      <c r="L34" s="14">
        <f t="shared" ref="L34:L65" si="7">J34-K34</f>
        <v>0</v>
      </c>
      <c r="M34" s="13"/>
    </row>
    <row r="35" spans="1:13" ht="15" customHeight="1" x14ac:dyDescent="0.45">
      <c r="A35" s="19">
        <v>46174</v>
      </c>
      <c r="B35" s="14" t="str">
        <f t="shared" si="4"/>
        <v>Mon</v>
      </c>
      <c r="C35" s="14"/>
      <c r="D35" s="14"/>
      <c r="E35" s="14"/>
      <c r="F35" s="14"/>
      <c r="G35" s="14"/>
      <c r="H35" s="14"/>
      <c r="I35" s="14"/>
      <c r="J35" s="14">
        <f t="shared" si="5"/>
        <v>0</v>
      </c>
      <c r="K35" s="14">
        <f t="shared" si="6"/>
        <v>6</v>
      </c>
      <c r="L35" s="14">
        <f t="shared" si="7"/>
        <v>-6</v>
      </c>
      <c r="M35" s="13"/>
    </row>
    <row r="36" spans="1:13" ht="15" customHeight="1" x14ac:dyDescent="0.45">
      <c r="A36" s="19">
        <v>46175</v>
      </c>
      <c r="B36" s="14" t="str">
        <f t="shared" si="4"/>
        <v>Tue</v>
      </c>
      <c r="C36" s="14"/>
      <c r="D36" s="14"/>
      <c r="E36" s="14"/>
      <c r="F36" s="14"/>
      <c r="G36" s="14"/>
      <c r="H36" s="14"/>
      <c r="I36" s="14"/>
      <c r="J36" s="14">
        <f t="shared" si="5"/>
        <v>0</v>
      </c>
      <c r="K36" s="14">
        <f t="shared" si="6"/>
        <v>6</v>
      </c>
      <c r="L36" s="14">
        <f t="shared" si="7"/>
        <v>-6</v>
      </c>
      <c r="M36" s="13"/>
    </row>
    <row r="37" spans="1:13" ht="15" customHeight="1" x14ac:dyDescent="0.45">
      <c r="A37" s="19">
        <v>46176</v>
      </c>
      <c r="B37" s="14" t="str">
        <f t="shared" si="4"/>
        <v>Wed</v>
      </c>
      <c r="C37" s="14"/>
      <c r="D37" s="14"/>
      <c r="E37" s="14"/>
      <c r="F37" s="14"/>
      <c r="G37" s="14"/>
      <c r="H37" s="14"/>
      <c r="I37" s="14"/>
      <c r="J37" s="14">
        <f t="shared" si="5"/>
        <v>0</v>
      </c>
      <c r="K37" s="14">
        <f t="shared" si="6"/>
        <v>6</v>
      </c>
      <c r="L37" s="14">
        <f t="shared" si="7"/>
        <v>-6</v>
      </c>
      <c r="M37" s="13"/>
    </row>
    <row r="38" spans="1:13" ht="15" customHeight="1" x14ac:dyDescent="0.45">
      <c r="A38" s="19">
        <v>46177</v>
      </c>
      <c r="B38" s="14" t="str">
        <f t="shared" si="4"/>
        <v>Thu</v>
      </c>
      <c r="C38" s="14"/>
      <c r="D38" s="14"/>
      <c r="E38" s="14"/>
      <c r="F38" s="14"/>
      <c r="G38" s="14"/>
      <c r="H38" s="14"/>
      <c r="I38" s="14"/>
      <c r="J38" s="14">
        <f t="shared" si="5"/>
        <v>0</v>
      </c>
      <c r="K38" s="14">
        <f t="shared" si="6"/>
        <v>6</v>
      </c>
      <c r="L38" s="14">
        <f t="shared" si="7"/>
        <v>-6</v>
      </c>
      <c r="M38" s="13"/>
    </row>
    <row r="39" spans="1:13" ht="15" customHeight="1" x14ac:dyDescent="0.45">
      <c r="A39" s="19">
        <v>46178</v>
      </c>
      <c r="B39" s="14" t="str">
        <f t="shared" si="4"/>
        <v>Fri</v>
      </c>
      <c r="C39" s="14"/>
      <c r="D39" s="14"/>
      <c r="E39" s="14"/>
      <c r="F39" s="14"/>
      <c r="G39" s="14"/>
      <c r="H39" s="14"/>
      <c r="I39" s="14"/>
      <c r="J39" s="14">
        <f t="shared" si="5"/>
        <v>0</v>
      </c>
      <c r="K39" s="14">
        <f t="shared" si="6"/>
        <v>6</v>
      </c>
      <c r="L39" s="14">
        <f t="shared" si="7"/>
        <v>-6</v>
      </c>
      <c r="M39" s="13"/>
    </row>
    <row r="40" spans="1:13" ht="15" customHeight="1" x14ac:dyDescent="0.45">
      <c r="A40" s="19">
        <v>46179</v>
      </c>
      <c r="B40" s="14" t="str">
        <f t="shared" si="4"/>
        <v>Sat</v>
      </c>
      <c r="C40" s="14"/>
      <c r="D40" s="14"/>
      <c r="E40" s="14"/>
      <c r="F40" s="14"/>
      <c r="G40" s="14"/>
      <c r="H40" s="14"/>
      <c r="I40" s="14"/>
      <c r="J40" s="14">
        <f t="shared" si="5"/>
        <v>0</v>
      </c>
      <c r="K40" s="14">
        <f t="shared" si="6"/>
        <v>6</v>
      </c>
      <c r="L40" s="14">
        <f t="shared" si="7"/>
        <v>-6</v>
      </c>
      <c r="M40" s="13"/>
    </row>
    <row r="41" spans="1:13" ht="15" customHeight="1" x14ac:dyDescent="0.45">
      <c r="A41" s="19">
        <v>46180</v>
      </c>
      <c r="B41" s="14" t="str">
        <f t="shared" si="4"/>
        <v>Sun</v>
      </c>
      <c r="C41" s="14"/>
      <c r="D41" s="14"/>
      <c r="E41" s="14"/>
      <c r="F41" s="14"/>
      <c r="G41" s="14"/>
      <c r="H41" s="14"/>
      <c r="I41" s="14"/>
      <c r="J41" s="14">
        <f t="shared" si="5"/>
        <v>0</v>
      </c>
      <c r="K41" s="14">
        <f t="shared" si="6"/>
        <v>0</v>
      </c>
      <c r="L41" s="14">
        <f t="shared" si="7"/>
        <v>0</v>
      </c>
      <c r="M41" s="13"/>
    </row>
    <row r="42" spans="1:13" ht="15" customHeight="1" x14ac:dyDescent="0.45">
      <c r="A42" s="19">
        <v>46181</v>
      </c>
      <c r="B42" s="14" t="str">
        <f t="shared" si="4"/>
        <v>Mon</v>
      </c>
      <c r="C42" s="14"/>
      <c r="D42" s="14"/>
      <c r="E42" s="14"/>
      <c r="F42" s="14"/>
      <c r="G42" s="14"/>
      <c r="H42" s="14"/>
      <c r="I42" s="14"/>
      <c r="J42" s="14">
        <f t="shared" si="5"/>
        <v>0</v>
      </c>
      <c r="K42" s="14">
        <f t="shared" si="6"/>
        <v>6</v>
      </c>
      <c r="L42" s="14">
        <f t="shared" si="7"/>
        <v>-6</v>
      </c>
      <c r="M42" s="13"/>
    </row>
    <row r="43" spans="1:13" ht="15" customHeight="1" x14ac:dyDescent="0.45">
      <c r="A43" s="19">
        <v>46182</v>
      </c>
      <c r="B43" s="14" t="str">
        <f t="shared" si="4"/>
        <v>Tue</v>
      </c>
      <c r="C43" s="14"/>
      <c r="D43" s="14"/>
      <c r="E43" s="14"/>
      <c r="F43" s="14"/>
      <c r="G43" s="14"/>
      <c r="H43" s="14"/>
      <c r="I43" s="14"/>
      <c r="J43" s="14">
        <f t="shared" si="5"/>
        <v>0</v>
      </c>
      <c r="K43" s="14">
        <f t="shared" si="6"/>
        <v>6</v>
      </c>
      <c r="L43" s="14">
        <f t="shared" si="7"/>
        <v>-6</v>
      </c>
      <c r="M43" s="13"/>
    </row>
    <row r="44" spans="1:13" ht="15" customHeight="1" x14ac:dyDescent="0.45">
      <c r="A44" s="19">
        <v>46183</v>
      </c>
      <c r="B44" s="14" t="str">
        <f t="shared" si="4"/>
        <v>Wed</v>
      </c>
      <c r="C44" s="14"/>
      <c r="D44" s="14"/>
      <c r="E44" s="14"/>
      <c r="F44" s="14"/>
      <c r="G44" s="14"/>
      <c r="H44" s="14"/>
      <c r="I44" s="14"/>
      <c r="J44" s="14">
        <f t="shared" si="5"/>
        <v>0</v>
      </c>
      <c r="K44" s="14">
        <f t="shared" si="6"/>
        <v>6</v>
      </c>
      <c r="L44" s="14">
        <f t="shared" si="7"/>
        <v>-6</v>
      </c>
      <c r="M44" s="13"/>
    </row>
    <row r="45" spans="1:13" ht="15" customHeight="1" x14ac:dyDescent="0.45">
      <c r="A45" s="19">
        <v>46184</v>
      </c>
      <c r="B45" s="14" t="str">
        <f t="shared" si="4"/>
        <v>Thu</v>
      </c>
      <c r="C45" s="14"/>
      <c r="D45" s="14"/>
      <c r="E45" s="14"/>
      <c r="F45" s="14"/>
      <c r="G45" s="14"/>
      <c r="H45" s="14"/>
      <c r="I45" s="14"/>
      <c r="J45" s="14">
        <f t="shared" si="5"/>
        <v>0</v>
      </c>
      <c r="K45" s="14">
        <f t="shared" si="6"/>
        <v>6</v>
      </c>
      <c r="L45" s="14">
        <f t="shared" si="7"/>
        <v>-6</v>
      </c>
      <c r="M45" s="13"/>
    </row>
    <row r="46" spans="1:13" ht="15" customHeight="1" x14ac:dyDescent="0.45">
      <c r="A46" s="19">
        <v>46185</v>
      </c>
      <c r="B46" s="14" t="str">
        <f t="shared" si="4"/>
        <v>Fri</v>
      </c>
      <c r="C46" s="14"/>
      <c r="D46" s="14"/>
      <c r="E46" s="14"/>
      <c r="F46" s="14"/>
      <c r="G46" s="14"/>
      <c r="H46" s="14"/>
      <c r="I46" s="14"/>
      <c r="J46" s="14">
        <f t="shared" si="5"/>
        <v>0</v>
      </c>
      <c r="K46" s="14">
        <f t="shared" si="6"/>
        <v>6</v>
      </c>
      <c r="L46" s="14">
        <f t="shared" si="7"/>
        <v>-6</v>
      </c>
      <c r="M46" s="13"/>
    </row>
    <row r="47" spans="1:13" ht="15" customHeight="1" x14ac:dyDescent="0.45">
      <c r="A47" s="19">
        <v>46186</v>
      </c>
      <c r="B47" s="14" t="str">
        <f t="shared" si="4"/>
        <v>Sat</v>
      </c>
      <c r="C47" s="14"/>
      <c r="D47" s="14"/>
      <c r="E47" s="14"/>
      <c r="F47" s="14"/>
      <c r="G47" s="14"/>
      <c r="H47" s="14"/>
      <c r="I47" s="14"/>
      <c r="J47" s="14">
        <f t="shared" si="5"/>
        <v>0</v>
      </c>
      <c r="K47" s="14">
        <f t="shared" si="6"/>
        <v>6</v>
      </c>
      <c r="L47" s="14">
        <f t="shared" si="7"/>
        <v>-6</v>
      </c>
      <c r="M47" s="13"/>
    </row>
    <row r="48" spans="1:13" ht="15" customHeight="1" x14ac:dyDescent="0.45">
      <c r="A48" s="19">
        <v>46187</v>
      </c>
      <c r="B48" s="14" t="str">
        <f t="shared" si="4"/>
        <v>Sun</v>
      </c>
      <c r="C48" s="14"/>
      <c r="D48" s="14"/>
      <c r="E48" s="14"/>
      <c r="F48" s="14"/>
      <c r="G48" s="14"/>
      <c r="H48" s="14"/>
      <c r="I48" s="14"/>
      <c r="J48" s="14">
        <f t="shared" si="5"/>
        <v>0</v>
      </c>
      <c r="K48" s="14">
        <f t="shared" si="6"/>
        <v>0</v>
      </c>
      <c r="L48" s="14">
        <f t="shared" si="7"/>
        <v>0</v>
      </c>
      <c r="M48" s="13"/>
    </row>
    <row r="49" spans="1:13" ht="15" customHeight="1" x14ac:dyDescent="0.45">
      <c r="A49" s="19">
        <v>46188</v>
      </c>
      <c r="B49" s="14" t="str">
        <f t="shared" si="4"/>
        <v>Mon</v>
      </c>
      <c r="C49" s="14"/>
      <c r="D49" s="14"/>
      <c r="E49" s="14"/>
      <c r="F49" s="14"/>
      <c r="G49" s="14"/>
      <c r="H49" s="14"/>
      <c r="I49" s="14"/>
      <c r="J49" s="14">
        <f t="shared" si="5"/>
        <v>0</v>
      </c>
      <c r="K49" s="14">
        <f t="shared" si="6"/>
        <v>6</v>
      </c>
      <c r="L49" s="14">
        <f t="shared" si="7"/>
        <v>-6</v>
      </c>
      <c r="M49" s="13"/>
    </row>
    <row r="50" spans="1:13" ht="15" customHeight="1" x14ac:dyDescent="0.45">
      <c r="A50" s="19">
        <v>46189</v>
      </c>
      <c r="B50" s="14" t="str">
        <f t="shared" si="4"/>
        <v>Tue</v>
      </c>
      <c r="C50" s="14"/>
      <c r="D50" s="14"/>
      <c r="E50" s="14"/>
      <c r="F50" s="14"/>
      <c r="G50" s="14"/>
      <c r="H50" s="14"/>
      <c r="I50" s="14"/>
      <c r="J50" s="14">
        <f t="shared" si="5"/>
        <v>0</v>
      </c>
      <c r="K50" s="14">
        <f t="shared" si="6"/>
        <v>6</v>
      </c>
      <c r="L50" s="14">
        <f t="shared" si="7"/>
        <v>-6</v>
      </c>
      <c r="M50" s="13"/>
    </row>
    <row r="51" spans="1:13" ht="15" customHeight="1" x14ac:dyDescent="0.45">
      <c r="A51" s="19">
        <v>46190</v>
      </c>
      <c r="B51" s="14" t="str">
        <f t="shared" si="4"/>
        <v>Wed</v>
      </c>
      <c r="C51" s="14"/>
      <c r="D51" s="14"/>
      <c r="E51" s="14"/>
      <c r="F51" s="14"/>
      <c r="G51" s="14"/>
      <c r="H51" s="14"/>
      <c r="I51" s="14"/>
      <c r="J51" s="14">
        <f t="shared" si="5"/>
        <v>0</v>
      </c>
      <c r="K51" s="14">
        <f t="shared" si="6"/>
        <v>6</v>
      </c>
      <c r="L51" s="14">
        <f t="shared" si="7"/>
        <v>-6</v>
      </c>
      <c r="M51" s="13"/>
    </row>
    <row r="52" spans="1:13" ht="15" customHeight="1" x14ac:dyDescent="0.45">
      <c r="A52" s="19">
        <v>46191</v>
      </c>
      <c r="B52" s="14" t="str">
        <f t="shared" si="4"/>
        <v>Thu</v>
      </c>
      <c r="C52" s="14"/>
      <c r="D52" s="14"/>
      <c r="E52" s="14"/>
      <c r="F52" s="14"/>
      <c r="G52" s="14"/>
      <c r="H52" s="14"/>
      <c r="I52" s="14"/>
      <c r="J52" s="14">
        <f t="shared" si="5"/>
        <v>0</v>
      </c>
      <c r="K52" s="14">
        <f t="shared" si="6"/>
        <v>6</v>
      </c>
      <c r="L52" s="14">
        <f t="shared" si="7"/>
        <v>-6</v>
      </c>
      <c r="M52" s="13"/>
    </row>
    <row r="53" spans="1:13" ht="15" customHeight="1" x14ac:dyDescent="0.45">
      <c r="A53" s="19">
        <v>46192</v>
      </c>
      <c r="B53" s="14" t="str">
        <f t="shared" si="4"/>
        <v>Fri</v>
      </c>
      <c r="C53" s="14"/>
      <c r="D53" s="14"/>
      <c r="E53" s="14"/>
      <c r="F53" s="14"/>
      <c r="G53" s="14"/>
      <c r="H53" s="14"/>
      <c r="I53" s="14"/>
      <c r="J53" s="14">
        <f t="shared" si="5"/>
        <v>0</v>
      </c>
      <c r="K53" s="14">
        <f t="shared" si="6"/>
        <v>6</v>
      </c>
      <c r="L53" s="14">
        <f t="shared" si="7"/>
        <v>-6</v>
      </c>
      <c r="M53" s="13"/>
    </row>
    <row r="54" spans="1:13" ht="15" customHeight="1" x14ac:dyDescent="0.45">
      <c r="A54" s="19">
        <v>46193</v>
      </c>
      <c r="B54" s="14" t="str">
        <f t="shared" si="4"/>
        <v>Sat</v>
      </c>
      <c r="C54" s="14"/>
      <c r="D54" s="14"/>
      <c r="E54" s="14"/>
      <c r="F54" s="14"/>
      <c r="G54" s="14"/>
      <c r="H54" s="14"/>
      <c r="I54" s="14"/>
      <c r="J54" s="14">
        <f t="shared" si="5"/>
        <v>0</v>
      </c>
      <c r="K54" s="14">
        <f t="shared" si="6"/>
        <v>6</v>
      </c>
      <c r="L54" s="14">
        <f t="shared" si="7"/>
        <v>-6</v>
      </c>
      <c r="M54" s="13"/>
    </row>
    <row r="55" spans="1:13" ht="15" customHeight="1" x14ac:dyDescent="0.45">
      <c r="A55" s="19">
        <v>46194</v>
      </c>
      <c r="B55" s="14" t="str">
        <f t="shared" si="4"/>
        <v>Sun</v>
      </c>
      <c r="C55" s="14"/>
      <c r="D55" s="14"/>
      <c r="E55" s="14"/>
      <c r="F55" s="14"/>
      <c r="G55" s="14"/>
      <c r="H55" s="14"/>
      <c r="I55" s="14"/>
      <c r="J55" s="14">
        <f t="shared" si="5"/>
        <v>0</v>
      </c>
      <c r="K55" s="14">
        <f t="shared" si="6"/>
        <v>0</v>
      </c>
      <c r="L55" s="14">
        <f t="shared" si="7"/>
        <v>0</v>
      </c>
      <c r="M55" s="13"/>
    </row>
    <row r="56" spans="1:13" ht="15" customHeight="1" x14ac:dyDescent="0.45">
      <c r="A56" s="19">
        <v>46195</v>
      </c>
      <c r="B56" s="14" t="str">
        <f t="shared" si="4"/>
        <v>Mon</v>
      </c>
      <c r="C56" s="14"/>
      <c r="D56" s="14"/>
      <c r="E56" s="14"/>
      <c r="F56" s="14"/>
      <c r="G56" s="14"/>
      <c r="H56" s="14"/>
      <c r="I56" s="14"/>
      <c r="J56" s="14">
        <f t="shared" si="5"/>
        <v>0</v>
      </c>
      <c r="K56" s="14">
        <f t="shared" si="6"/>
        <v>6</v>
      </c>
      <c r="L56" s="14">
        <f t="shared" si="7"/>
        <v>-6</v>
      </c>
      <c r="M56" s="13"/>
    </row>
    <row r="57" spans="1:13" ht="15" customHeight="1" x14ac:dyDescent="0.45">
      <c r="A57" s="19">
        <v>46196</v>
      </c>
      <c r="B57" s="14" t="str">
        <f t="shared" si="4"/>
        <v>Tue</v>
      </c>
      <c r="C57" s="14"/>
      <c r="D57" s="14"/>
      <c r="E57" s="14"/>
      <c r="F57" s="14"/>
      <c r="G57" s="14"/>
      <c r="H57" s="14"/>
      <c r="I57" s="14"/>
      <c r="J57" s="14">
        <f t="shared" si="5"/>
        <v>0</v>
      </c>
      <c r="K57" s="14">
        <f t="shared" si="6"/>
        <v>6</v>
      </c>
      <c r="L57" s="14">
        <f t="shared" si="7"/>
        <v>-6</v>
      </c>
      <c r="M57" s="13"/>
    </row>
    <row r="58" spans="1:13" ht="15" customHeight="1" x14ac:dyDescent="0.45">
      <c r="A58" s="19">
        <v>46197</v>
      </c>
      <c r="B58" s="14" t="str">
        <f t="shared" si="4"/>
        <v>Wed</v>
      </c>
      <c r="C58" s="14"/>
      <c r="D58" s="14"/>
      <c r="E58" s="14"/>
      <c r="F58" s="14"/>
      <c r="G58" s="14"/>
      <c r="H58" s="14"/>
      <c r="I58" s="14"/>
      <c r="J58" s="14">
        <f t="shared" si="5"/>
        <v>0</v>
      </c>
      <c r="K58" s="14">
        <f t="shared" si="6"/>
        <v>6</v>
      </c>
      <c r="L58" s="14">
        <f t="shared" si="7"/>
        <v>-6</v>
      </c>
      <c r="M58" s="13"/>
    </row>
    <row r="59" spans="1:13" ht="15" customHeight="1" x14ac:dyDescent="0.45">
      <c r="A59" s="19">
        <v>46198</v>
      </c>
      <c r="B59" s="14" t="str">
        <f t="shared" si="4"/>
        <v>Thu</v>
      </c>
      <c r="C59" s="14"/>
      <c r="D59" s="14"/>
      <c r="E59" s="14"/>
      <c r="F59" s="14"/>
      <c r="G59" s="14"/>
      <c r="H59" s="14"/>
      <c r="I59" s="14"/>
      <c r="J59" s="14">
        <f t="shared" si="5"/>
        <v>0</v>
      </c>
      <c r="K59" s="14">
        <f t="shared" si="6"/>
        <v>6</v>
      </c>
      <c r="L59" s="14">
        <f t="shared" si="7"/>
        <v>-6</v>
      </c>
      <c r="M59" s="13"/>
    </row>
    <row r="60" spans="1:13" ht="15" customHeight="1" x14ac:dyDescent="0.45">
      <c r="A60" s="19">
        <v>46199</v>
      </c>
      <c r="B60" s="14" t="str">
        <f t="shared" si="4"/>
        <v>Fri</v>
      </c>
      <c r="C60" s="14"/>
      <c r="D60" s="14"/>
      <c r="E60" s="14"/>
      <c r="F60" s="14"/>
      <c r="G60" s="14"/>
      <c r="H60" s="14"/>
      <c r="I60" s="14"/>
      <c r="J60" s="14">
        <f t="shared" si="5"/>
        <v>0</v>
      </c>
      <c r="K60" s="14">
        <f t="shared" si="6"/>
        <v>6</v>
      </c>
      <c r="L60" s="14">
        <f t="shared" si="7"/>
        <v>-6</v>
      </c>
      <c r="M60" s="13"/>
    </row>
    <row r="61" spans="1:13" ht="15" customHeight="1" x14ac:dyDescent="0.45">
      <c r="A61" s="19">
        <v>46200</v>
      </c>
      <c r="B61" s="14" t="str">
        <f t="shared" si="4"/>
        <v>Sat</v>
      </c>
      <c r="C61" s="14"/>
      <c r="D61" s="14"/>
      <c r="E61" s="14"/>
      <c r="F61" s="14"/>
      <c r="G61" s="14"/>
      <c r="H61" s="14"/>
      <c r="I61" s="14"/>
      <c r="J61" s="14">
        <f t="shared" si="5"/>
        <v>0</v>
      </c>
      <c r="K61" s="14">
        <f t="shared" si="6"/>
        <v>6</v>
      </c>
      <c r="L61" s="14">
        <f t="shared" si="7"/>
        <v>-6</v>
      </c>
      <c r="M61" s="13"/>
    </row>
    <row r="62" spans="1:13" ht="15" customHeight="1" x14ac:dyDescent="0.45">
      <c r="A62" s="19">
        <v>46201</v>
      </c>
      <c r="B62" s="14" t="str">
        <f t="shared" si="4"/>
        <v>Sun</v>
      </c>
      <c r="C62" s="14"/>
      <c r="D62" s="14"/>
      <c r="E62" s="14"/>
      <c r="F62" s="14"/>
      <c r="G62" s="14"/>
      <c r="H62" s="14"/>
      <c r="I62" s="14"/>
      <c r="J62" s="14">
        <f t="shared" si="5"/>
        <v>0</v>
      </c>
      <c r="K62" s="14">
        <f t="shared" si="6"/>
        <v>0</v>
      </c>
      <c r="L62" s="14">
        <f t="shared" si="7"/>
        <v>0</v>
      </c>
      <c r="M62" s="13"/>
    </row>
    <row r="63" spans="1:13" ht="15" customHeight="1" x14ac:dyDescent="0.45">
      <c r="A63" s="19">
        <v>46202</v>
      </c>
      <c r="B63" s="14" t="str">
        <f t="shared" si="4"/>
        <v>Mon</v>
      </c>
      <c r="C63" s="14"/>
      <c r="D63" s="14"/>
      <c r="E63" s="14"/>
      <c r="F63" s="14"/>
      <c r="G63" s="14"/>
      <c r="H63" s="14"/>
      <c r="I63" s="14"/>
      <c r="J63" s="14">
        <f t="shared" si="5"/>
        <v>0</v>
      </c>
      <c r="K63" s="14">
        <f t="shared" si="6"/>
        <v>6</v>
      </c>
      <c r="L63" s="14">
        <f t="shared" si="7"/>
        <v>-6</v>
      </c>
      <c r="M63" s="13"/>
    </row>
    <row r="64" spans="1:13" ht="15" customHeight="1" x14ac:dyDescent="0.45">
      <c r="A64" s="19">
        <v>46203</v>
      </c>
      <c r="B64" s="14" t="str">
        <f t="shared" si="4"/>
        <v>Tue</v>
      </c>
      <c r="C64" s="14"/>
      <c r="D64" s="14"/>
      <c r="E64" s="14"/>
      <c r="F64" s="14"/>
      <c r="G64" s="14"/>
      <c r="H64" s="14"/>
      <c r="I64" s="14"/>
      <c r="J64" s="14">
        <f t="shared" si="5"/>
        <v>0</v>
      </c>
      <c r="K64" s="14">
        <f t="shared" si="6"/>
        <v>6</v>
      </c>
      <c r="L64" s="14">
        <f t="shared" si="7"/>
        <v>-6</v>
      </c>
      <c r="M64" s="13"/>
    </row>
    <row r="65" spans="1:13" ht="15" customHeight="1" x14ac:dyDescent="0.45">
      <c r="A65" s="19">
        <v>46204</v>
      </c>
      <c r="B65" s="14" t="str">
        <f t="shared" si="4"/>
        <v>Wed</v>
      </c>
      <c r="C65" s="14"/>
      <c r="D65" s="14"/>
      <c r="E65" s="14"/>
      <c r="F65" s="14"/>
      <c r="G65" s="14"/>
      <c r="H65" s="14"/>
      <c r="I65" s="14"/>
      <c r="J65" s="14">
        <f t="shared" si="5"/>
        <v>0</v>
      </c>
      <c r="K65" s="14">
        <f t="shared" si="6"/>
        <v>6</v>
      </c>
      <c r="L65" s="14">
        <f t="shared" si="7"/>
        <v>-6</v>
      </c>
      <c r="M65" s="13"/>
    </row>
    <row r="66" spans="1:13" ht="15" customHeight="1" x14ac:dyDescent="0.45">
      <c r="A66" s="19">
        <v>46205</v>
      </c>
      <c r="B66" s="14" t="str">
        <f t="shared" ref="B66:B97" si="8">TEXT(A66,"ddd")</f>
        <v>Thu</v>
      </c>
      <c r="C66" s="14"/>
      <c r="D66" s="14"/>
      <c r="E66" s="14"/>
      <c r="F66" s="14"/>
      <c r="G66" s="14"/>
      <c r="H66" s="14"/>
      <c r="I66" s="14"/>
      <c r="J66" s="14">
        <f t="shared" ref="J66:J97" si="9">SUM(C66:I66)</f>
        <v>0</v>
      </c>
      <c r="K66" s="14">
        <f t="shared" ref="K66:K97" si="10">IF(WEEKDAY(A66,2)=7,0,6)</f>
        <v>6</v>
      </c>
      <c r="L66" s="14">
        <f t="shared" ref="L66:L97" si="11">J66-K66</f>
        <v>-6</v>
      </c>
      <c r="M66" s="13"/>
    </row>
    <row r="67" spans="1:13" ht="15" customHeight="1" x14ac:dyDescent="0.45">
      <c r="A67" s="19">
        <v>46206</v>
      </c>
      <c r="B67" s="14" t="str">
        <f t="shared" si="8"/>
        <v>Fri</v>
      </c>
      <c r="C67" s="14"/>
      <c r="D67" s="14"/>
      <c r="E67" s="14"/>
      <c r="F67" s="14"/>
      <c r="G67" s="14"/>
      <c r="H67" s="14"/>
      <c r="I67" s="14"/>
      <c r="J67" s="14">
        <f t="shared" si="9"/>
        <v>0</v>
      </c>
      <c r="K67" s="14">
        <f t="shared" si="10"/>
        <v>6</v>
      </c>
      <c r="L67" s="14">
        <f t="shared" si="11"/>
        <v>-6</v>
      </c>
      <c r="M67" s="13"/>
    </row>
    <row r="68" spans="1:13" ht="15" customHeight="1" x14ac:dyDescent="0.45">
      <c r="A68" s="19">
        <v>46207</v>
      </c>
      <c r="B68" s="14" t="str">
        <f t="shared" si="8"/>
        <v>Sat</v>
      </c>
      <c r="C68" s="14"/>
      <c r="D68" s="14"/>
      <c r="E68" s="14"/>
      <c r="F68" s="14"/>
      <c r="G68" s="14"/>
      <c r="H68" s="14"/>
      <c r="I68" s="14"/>
      <c r="J68" s="14">
        <f t="shared" si="9"/>
        <v>0</v>
      </c>
      <c r="K68" s="14">
        <f t="shared" si="10"/>
        <v>6</v>
      </c>
      <c r="L68" s="14">
        <f t="shared" si="11"/>
        <v>-6</v>
      </c>
      <c r="M68" s="13"/>
    </row>
    <row r="69" spans="1:13" ht="15" customHeight="1" x14ac:dyDescent="0.45">
      <c r="A69" s="19">
        <v>46208</v>
      </c>
      <c r="B69" s="14" t="str">
        <f t="shared" si="8"/>
        <v>Sun</v>
      </c>
      <c r="C69" s="14"/>
      <c r="D69" s="14"/>
      <c r="E69" s="14"/>
      <c r="F69" s="14"/>
      <c r="G69" s="14"/>
      <c r="H69" s="14"/>
      <c r="I69" s="14"/>
      <c r="J69" s="14">
        <f t="shared" si="9"/>
        <v>0</v>
      </c>
      <c r="K69" s="14">
        <f t="shared" si="10"/>
        <v>0</v>
      </c>
      <c r="L69" s="14">
        <f t="shared" si="11"/>
        <v>0</v>
      </c>
      <c r="M69" s="13"/>
    </row>
    <row r="70" spans="1:13" ht="15" customHeight="1" x14ac:dyDescent="0.45">
      <c r="A70" s="19">
        <v>46209</v>
      </c>
      <c r="B70" s="14" t="str">
        <f t="shared" si="8"/>
        <v>Mon</v>
      </c>
      <c r="C70" s="14"/>
      <c r="D70" s="14"/>
      <c r="E70" s="14"/>
      <c r="F70" s="14"/>
      <c r="G70" s="14"/>
      <c r="H70" s="14"/>
      <c r="I70" s="14"/>
      <c r="J70" s="14">
        <f t="shared" si="9"/>
        <v>0</v>
      </c>
      <c r="K70" s="14">
        <f t="shared" si="10"/>
        <v>6</v>
      </c>
      <c r="L70" s="14">
        <f t="shared" si="11"/>
        <v>-6</v>
      </c>
      <c r="M70" s="13"/>
    </row>
    <row r="71" spans="1:13" ht="15" customHeight="1" x14ac:dyDescent="0.45">
      <c r="A71" s="19">
        <v>46210</v>
      </c>
      <c r="B71" s="14" t="str">
        <f t="shared" si="8"/>
        <v>Tue</v>
      </c>
      <c r="C71" s="14"/>
      <c r="D71" s="14"/>
      <c r="E71" s="14"/>
      <c r="F71" s="14"/>
      <c r="G71" s="14"/>
      <c r="H71" s="14"/>
      <c r="I71" s="14"/>
      <c r="J71" s="14">
        <f t="shared" si="9"/>
        <v>0</v>
      </c>
      <c r="K71" s="14">
        <f t="shared" si="10"/>
        <v>6</v>
      </c>
      <c r="L71" s="14">
        <f t="shared" si="11"/>
        <v>-6</v>
      </c>
      <c r="M71" s="13"/>
    </row>
    <row r="72" spans="1:13" ht="15" customHeight="1" x14ac:dyDescent="0.45">
      <c r="A72" s="19">
        <v>46211</v>
      </c>
      <c r="B72" s="14" t="str">
        <f t="shared" si="8"/>
        <v>Wed</v>
      </c>
      <c r="C72" s="14"/>
      <c r="D72" s="14"/>
      <c r="E72" s="14"/>
      <c r="F72" s="14"/>
      <c r="G72" s="14"/>
      <c r="H72" s="14"/>
      <c r="I72" s="14"/>
      <c r="J72" s="14">
        <f t="shared" si="9"/>
        <v>0</v>
      </c>
      <c r="K72" s="14">
        <f t="shared" si="10"/>
        <v>6</v>
      </c>
      <c r="L72" s="14">
        <f t="shared" si="11"/>
        <v>-6</v>
      </c>
      <c r="M72" s="13"/>
    </row>
    <row r="73" spans="1:13" ht="15" customHeight="1" x14ac:dyDescent="0.45">
      <c r="A73" s="19">
        <v>46212</v>
      </c>
      <c r="B73" s="14" t="str">
        <f t="shared" si="8"/>
        <v>Thu</v>
      </c>
      <c r="C73" s="14"/>
      <c r="D73" s="14"/>
      <c r="E73" s="14"/>
      <c r="F73" s="14"/>
      <c r="G73" s="14"/>
      <c r="H73" s="14"/>
      <c r="I73" s="14"/>
      <c r="J73" s="14">
        <f t="shared" si="9"/>
        <v>0</v>
      </c>
      <c r="K73" s="14">
        <f t="shared" si="10"/>
        <v>6</v>
      </c>
      <c r="L73" s="14">
        <f t="shared" si="11"/>
        <v>-6</v>
      </c>
      <c r="M73" s="13"/>
    </row>
    <row r="74" spans="1:13" ht="15" customHeight="1" x14ac:dyDescent="0.45">
      <c r="A74" s="19">
        <v>46213</v>
      </c>
      <c r="B74" s="14" t="str">
        <f t="shared" si="8"/>
        <v>Fri</v>
      </c>
      <c r="C74" s="14"/>
      <c r="D74" s="14"/>
      <c r="E74" s="14"/>
      <c r="F74" s="14"/>
      <c r="G74" s="14"/>
      <c r="H74" s="14"/>
      <c r="I74" s="14"/>
      <c r="J74" s="14">
        <f t="shared" si="9"/>
        <v>0</v>
      </c>
      <c r="K74" s="14">
        <f t="shared" si="10"/>
        <v>6</v>
      </c>
      <c r="L74" s="14">
        <f t="shared" si="11"/>
        <v>-6</v>
      </c>
      <c r="M74" s="13"/>
    </row>
    <row r="75" spans="1:13" ht="15" customHeight="1" x14ac:dyDescent="0.45">
      <c r="A75" s="19">
        <v>46214</v>
      </c>
      <c r="B75" s="14" t="str">
        <f t="shared" si="8"/>
        <v>Sat</v>
      </c>
      <c r="C75" s="14"/>
      <c r="D75" s="14"/>
      <c r="E75" s="14"/>
      <c r="F75" s="14"/>
      <c r="G75" s="14"/>
      <c r="H75" s="14"/>
      <c r="I75" s="14"/>
      <c r="J75" s="14">
        <f t="shared" si="9"/>
        <v>0</v>
      </c>
      <c r="K75" s="14">
        <f t="shared" si="10"/>
        <v>6</v>
      </c>
      <c r="L75" s="14">
        <f t="shared" si="11"/>
        <v>-6</v>
      </c>
      <c r="M75" s="13"/>
    </row>
    <row r="76" spans="1:13" ht="15" customHeight="1" x14ac:dyDescent="0.45">
      <c r="A76" s="19">
        <v>46215</v>
      </c>
      <c r="B76" s="14" t="str">
        <f t="shared" si="8"/>
        <v>Sun</v>
      </c>
      <c r="C76" s="14"/>
      <c r="D76" s="14"/>
      <c r="E76" s="14"/>
      <c r="F76" s="14"/>
      <c r="G76" s="14"/>
      <c r="H76" s="14"/>
      <c r="I76" s="14"/>
      <c r="J76" s="14">
        <f t="shared" si="9"/>
        <v>0</v>
      </c>
      <c r="K76" s="14">
        <f t="shared" si="10"/>
        <v>0</v>
      </c>
      <c r="L76" s="14">
        <f t="shared" si="11"/>
        <v>0</v>
      </c>
      <c r="M76" s="13"/>
    </row>
    <row r="77" spans="1:13" ht="15" customHeight="1" x14ac:dyDescent="0.45">
      <c r="A77" s="19">
        <v>46216</v>
      </c>
      <c r="B77" s="14" t="str">
        <f t="shared" si="8"/>
        <v>Mon</v>
      </c>
      <c r="C77" s="14"/>
      <c r="D77" s="14"/>
      <c r="E77" s="14"/>
      <c r="F77" s="14"/>
      <c r="G77" s="14"/>
      <c r="H77" s="14"/>
      <c r="I77" s="14"/>
      <c r="J77" s="14">
        <f t="shared" si="9"/>
        <v>0</v>
      </c>
      <c r="K77" s="14">
        <f t="shared" si="10"/>
        <v>6</v>
      </c>
      <c r="L77" s="14">
        <f t="shared" si="11"/>
        <v>-6</v>
      </c>
      <c r="M77" s="13"/>
    </row>
    <row r="78" spans="1:13" ht="15" customHeight="1" x14ac:dyDescent="0.45">
      <c r="A78" s="19">
        <v>46217</v>
      </c>
      <c r="B78" s="14" t="str">
        <f t="shared" si="8"/>
        <v>Tue</v>
      </c>
      <c r="C78" s="14"/>
      <c r="D78" s="14"/>
      <c r="E78" s="14"/>
      <c r="F78" s="14"/>
      <c r="G78" s="14"/>
      <c r="H78" s="14"/>
      <c r="I78" s="14"/>
      <c r="J78" s="14">
        <f t="shared" si="9"/>
        <v>0</v>
      </c>
      <c r="K78" s="14">
        <f t="shared" si="10"/>
        <v>6</v>
      </c>
      <c r="L78" s="14">
        <f t="shared" si="11"/>
        <v>-6</v>
      </c>
      <c r="M78" s="13"/>
    </row>
    <row r="79" spans="1:13" ht="15" customHeight="1" x14ac:dyDescent="0.45">
      <c r="A79" s="19">
        <v>46218</v>
      </c>
      <c r="B79" s="14" t="str">
        <f t="shared" si="8"/>
        <v>Wed</v>
      </c>
      <c r="C79" s="14"/>
      <c r="D79" s="14"/>
      <c r="E79" s="14"/>
      <c r="F79" s="14"/>
      <c r="G79" s="14"/>
      <c r="H79" s="14"/>
      <c r="I79" s="14"/>
      <c r="J79" s="14">
        <f t="shared" si="9"/>
        <v>0</v>
      </c>
      <c r="K79" s="14">
        <f t="shared" si="10"/>
        <v>6</v>
      </c>
      <c r="L79" s="14">
        <f t="shared" si="11"/>
        <v>-6</v>
      </c>
      <c r="M79" s="13"/>
    </row>
    <row r="80" spans="1:13" ht="15" customHeight="1" x14ac:dyDescent="0.45">
      <c r="A80" s="19">
        <v>46219</v>
      </c>
      <c r="B80" s="14" t="str">
        <f t="shared" si="8"/>
        <v>Thu</v>
      </c>
      <c r="C80" s="14"/>
      <c r="D80" s="14"/>
      <c r="E80" s="14"/>
      <c r="F80" s="14"/>
      <c r="G80" s="14"/>
      <c r="H80" s="14"/>
      <c r="I80" s="14"/>
      <c r="J80" s="14">
        <f t="shared" si="9"/>
        <v>0</v>
      </c>
      <c r="K80" s="14">
        <f t="shared" si="10"/>
        <v>6</v>
      </c>
      <c r="L80" s="14">
        <f t="shared" si="11"/>
        <v>-6</v>
      </c>
      <c r="M80" s="13"/>
    </row>
    <row r="81" spans="1:13" ht="15" customHeight="1" x14ac:dyDescent="0.45">
      <c r="A81" s="19">
        <v>46220</v>
      </c>
      <c r="B81" s="14" t="str">
        <f t="shared" si="8"/>
        <v>Fri</v>
      </c>
      <c r="C81" s="14"/>
      <c r="D81" s="14"/>
      <c r="E81" s="14"/>
      <c r="F81" s="14"/>
      <c r="G81" s="14"/>
      <c r="H81" s="14"/>
      <c r="I81" s="14"/>
      <c r="J81" s="14">
        <f t="shared" si="9"/>
        <v>0</v>
      </c>
      <c r="K81" s="14">
        <f t="shared" si="10"/>
        <v>6</v>
      </c>
      <c r="L81" s="14">
        <f t="shared" si="11"/>
        <v>-6</v>
      </c>
      <c r="M81" s="13"/>
    </row>
    <row r="82" spans="1:13" ht="15" customHeight="1" x14ac:dyDescent="0.45">
      <c r="A82" s="19">
        <v>46221</v>
      </c>
      <c r="B82" s="14" t="str">
        <f t="shared" si="8"/>
        <v>Sat</v>
      </c>
      <c r="C82" s="14"/>
      <c r="D82" s="14"/>
      <c r="E82" s="14"/>
      <c r="F82" s="14"/>
      <c r="G82" s="14"/>
      <c r="H82" s="14"/>
      <c r="I82" s="14"/>
      <c r="J82" s="14">
        <f t="shared" si="9"/>
        <v>0</v>
      </c>
      <c r="K82" s="14">
        <f t="shared" si="10"/>
        <v>6</v>
      </c>
      <c r="L82" s="14">
        <f t="shared" si="11"/>
        <v>-6</v>
      </c>
      <c r="M82" s="13"/>
    </row>
    <row r="83" spans="1:13" ht="15" customHeight="1" x14ac:dyDescent="0.45">
      <c r="A83" s="19">
        <v>46222</v>
      </c>
      <c r="B83" s="14" t="str">
        <f t="shared" si="8"/>
        <v>Sun</v>
      </c>
      <c r="C83" s="14"/>
      <c r="D83" s="14"/>
      <c r="E83" s="14"/>
      <c r="F83" s="14"/>
      <c r="G83" s="14"/>
      <c r="H83" s="14"/>
      <c r="I83" s="14"/>
      <c r="J83" s="14">
        <f t="shared" si="9"/>
        <v>0</v>
      </c>
      <c r="K83" s="14">
        <f t="shared" si="10"/>
        <v>0</v>
      </c>
      <c r="L83" s="14">
        <f t="shared" si="11"/>
        <v>0</v>
      </c>
      <c r="M83" s="13"/>
    </row>
    <row r="84" spans="1:13" ht="15" customHeight="1" x14ac:dyDescent="0.45">
      <c r="A84" s="19">
        <v>46223</v>
      </c>
      <c r="B84" s="14" t="str">
        <f t="shared" si="8"/>
        <v>Mon</v>
      </c>
      <c r="C84" s="14"/>
      <c r="D84" s="14"/>
      <c r="E84" s="14"/>
      <c r="F84" s="14"/>
      <c r="G84" s="14"/>
      <c r="H84" s="14"/>
      <c r="I84" s="14"/>
      <c r="J84" s="14">
        <f t="shared" si="9"/>
        <v>0</v>
      </c>
      <c r="K84" s="14">
        <f t="shared" si="10"/>
        <v>6</v>
      </c>
      <c r="L84" s="14">
        <f t="shared" si="11"/>
        <v>-6</v>
      </c>
      <c r="M84" s="13"/>
    </row>
    <row r="85" spans="1:13" ht="15" customHeight="1" x14ac:dyDescent="0.45">
      <c r="A85" s="19">
        <v>46224</v>
      </c>
      <c r="B85" s="14" t="str">
        <f t="shared" si="8"/>
        <v>Tue</v>
      </c>
      <c r="C85" s="14"/>
      <c r="D85" s="14"/>
      <c r="E85" s="14"/>
      <c r="F85" s="14"/>
      <c r="G85" s="14"/>
      <c r="H85" s="14"/>
      <c r="I85" s="14"/>
      <c r="J85" s="14">
        <f t="shared" si="9"/>
        <v>0</v>
      </c>
      <c r="K85" s="14">
        <f t="shared" si="10"/>
        <v>6</v>
      </c>
      <c r="L85" s="14">
        <f t="shared" si="11"/>
        <v>-6</v>
      </c>
      <c r="M85" s="13"/>
    </row>
    <row r="86" spans="1:13" ht="15" customHeight="1" x14ac:dyDescent="0.45">
      <c r="A86" s="19">
        <v>46225</v>
      </c>
      <c r="B86" s="14" t="str">
        <f t="shared" si="8"/>
        <v>Wed</v>
      </c>
      <c r="C86" s="14"/>
      <c r="D86" s="14"/>
      <c r="E86" s="14"/>
      <c r="F86" s="14"/>
      <c r="G86" s="14"/>
      <c r="H86" s="14"/>
      <c r="I86" s="14"/>
      <c r="J86" s="14">
        <f t="shared" si="9"/>
        <v>0</v>
      </c>
      <c r="K86" s="14">
        <f t="shared" si="10"/>
        <v>6</v>
      </c>
      <c r="L86" s="14">
        <f t="shared" si="11"/>
        <v>-6</v>
      </c>
      <c r="M86" s="13"/>
    </row>
    <row r="87" spans="1:13" ht="15" customHeight="1" x14ac:dyDescent="0.45">
      <c r="A87" s="19">
        <v>46226</v>
      </c>
      <c r="B87" s="14" t="str">
        <f t="shared" si="8"/>
        <v>Thu</v>
      </c>
      <c r="C87" s="14"/>
      <c r="D87" s="14"/>
      <c r="E87" s="14"/>
      <c r="F87" s="14"/>
      <c r="G87" s="14"/>
      <c r="H87" s="14"/>
      <c r="I87" s="14"/>
      <c r="J87" s="14">
        <f t="shared" si="9"/>
        <v>0</v>
      </c>
      <c r="K87" s="14">
        <f t="shared" si="10"/>
        <v>6</v>
      </c>
      <c r="L87" s="14">
        <f t="shared" si="11"/>
        <v>-6</v>
      </c>
      <c r="M87" s="13"/>
    </row>
    <row r="88" spans="1:13" ht="15" customHeight="1" x14ac:dyDescent="0.45">
      <c r="A88" s="19">
        <v>46227</v>
      </c>
      <c r="B88" s="14" t="str">
        <f t="shared" si="8"/>
        <v>Fri</v>
      </c>
      <c r="C88" s="14"/>
      <c r="D88" s="14"/>
      <c r="E88" s="14"/>
      <c r="F88" s="14"/>
      <c r="G88" s="14"/>
      <c r="H88" s="14"/>
      <c r="I88" s="14"/>
      <c r="J88" s="14">
        <f t="shared" si="9"/>
        <v>0</v>
      </c>
      <c r="K88" s="14">
        <f t="shared" si="10"/>
        <v>6</v>
      </c>
      <c r="L88" s="14">
        <f t="shared" si="11"/>
        <v>-6</v>
      </c>
      <c r="M88" s="13"/>
    </row>
    <row r="89" spans="1:13" ht="15" customHeight="1" x14ac:dyDescent="0.45">
      <c r="A89" s="19">
        <v>46228</v>
      </c>
      <c r="B89" s="14" t="str">
        <f t="shared" si="8"/>
        <v>Sat</v>
      </c>
      <c r="C89" s="14"/>
      <c r="D89" s="14"/>
      <c r="E89" s="14"/>
      <c r="F89" s="14"/>
      <c r="G89" s="14"/>
      <c r="H89" s="14"/>
      <c r="I89" s="14"/>
      <c r="J89" s="14">
        <f t="shared" si="9"/>
        <v>0</v>
      </c>
      <c r="K89" s="14">
        <f t="shared" si="10"/>
        <v>6</v>
      </c>
      <c r="L89" s="14">
        <f t="shared" si="11"/>
        <v>-6</v>
      </c>
      <c r="M89" s="13"/>
    </row>
    <row r="90" spans="1:13" ht="15" customHeight="1" x14ac:dyDescent="0.45">
      <c r="A90" s="19">
        <v>46229</v>
      </c>
      <c r="B90" s="14" t="str">
        <f t="shared" si="8"/>
        <v>Sun</v>
      </c>
      <c r="C90" s="14"/>
      <c r="D90" s="14"/>
      <c r="E90" s="14"/>
      <c r="F90" s="14"/>
      <c r="G90" s="14"/>
      <c r="H90" s="14"/>
      <c r="I90" s="14"/>
      <c r="J90" s="14">
        <f t="shared" si="9"/>
        <v>0</v>
      </c>
      <c r="K90" s="14">
        <f t="shared" si="10"/>
        <v>0</v>
      </c>
      <c r="L90" s="14">
        <f t="shared" si="11"/>
        <v>0</v>
      </c>
      <c r="M90" s="13"/>
    </row>
    <row r="91" spans="1:13" ht="15" customHeight="1" x14ac:dyDescent="0.45">
      <c r="A91" s="19">
        <v>46230</v>
      </c>
      <c r="B91" s="14" t="str">
        <f t="shared" si="8"/>
        <v>Mon</v>
      </c>
      <c r="C91" s="14"/>
      <c r="D91" s="14"/>
      <c r="E91" s="14"/>
      <c r="F91" s="14"/>
      <c r="G91" s="14"/>
      <c r="H91" s="14"/>
      <c r="I91" s="14"/>
      <c r="J91" s="14">
        <f t="shared" si="9"/>
        <v>0</v>
      </c>
      <c r="K91" s="14">
        <f t="shared" si="10"/>
        <v>6</v>
      </c>
      <c r="L91" s="14">
        <f t="shared" si="11"/>
        <v>-6</v>
      </c>
      <c r="M91" s="13"/>
    </row>
    <row r="92" spans="1:13" ht="15" customHeight="1" x14ac:dyDescent="0.45">
      <c r="A92" s="19">
        <v>46231</v>
      </c>
      <c r="B92" s="14" t="str">
        <f t="shared" si="8"/>
        <v>Tue</v>
      </c>
      <c r="C92" s="14"/>
      <c r="D92" s="14"/>
      <c r="E92" s="14"/>
      <c r="F92" s="14"/>
      <c r="G92" s="14"/>
      <c r="H92" s="14"/>
      <c r="I92" s="14"/>
      <c r="J92" s="14">
        <f t="shared" si="9"/>
        <v>0</v>
      </c>
      <c r="K92" s="14">
        <f t="shared" si="10"/>
        <v>6</v>
      </c>
      <c r="L92" s="14">
        <f t="shared" si="11"/>
        <v>-6</v>
      </c>
      <c r="M92" s="13"/>
    </row>
    <row r="93" spans="1:13" ht="15" customHeight="1" x14ac:dyDescent="0.45">
      <c r="A93" s="19">
        <v>46232</v>
      </c>
      <c r="B93" s="14" t="str">
        <f t="shared" si="8"/>
        <v>Wed</v>
      </c>
      <c r="C93" s="14"/>
      <c r="D93" s="14"/>
      <c r="E93" s="14"/>
      <c r="F93" s="14"/>
      <c r="G93" s="14"/>
      <c r="H93" s="14"/>
      <c r="I93" s="14"/>
      <c r="J93" s="14">
        <f t="shared" si="9"/>
        <v>0</v>
      </c>
      <c r="K93" s="14">
        <f t="shared" si="10"/>
        <v>6</v>
      </c>
      <c r="L93" s="14">
        <f t="shared" si="11"/>
        <v>-6</v>
      </c>
      <c r="M93" s="13"/>
    </row>
    <row r="94" spans="1:13" ht="15" customHeight="1" x14ac:dyDescent="0.45">
      <c r="A94" s="19">
        <v>46233</v>
      </c>
      <c r="B94" s="14" t="str">
        <f t="shared" si="8"/>
        <v>Thu</v>
      </c>
      <c r="C94" s="14"/>
      <c r="D94" s="14"/>
      <c r="E94" s="14"/>
      <c r="F94" s="14"/>
      <c r="G94" s="14"/>
      <c r="H94" s="14"/>
      <c r="I94" s="14"/>
      <c r="J94" s="14">
        <f t="shared" si="9"/>
        <v>0</v>
      </c>
      <c r="K94" s="14">
        <f t="shared" si="10"/>
        <v>6</v>
      </c>
      <c r="L94" s="14">
        <f t="shared" si="11"/>
        <v>-6</v>
      </c>
      <c r="M94" s="13"/>
    </row>
    <row r="95" spans="1:13" ht="15" customHeight="1" x14ac:dyDescent="0.45">
      <c r="A95" s="19">
        <v>46234</v>
      </c>
      <c r="B95" s="14" t="str">
        <f t="shared" si="8"/>
        <v>Fri</v>
      </c>
      <c r="C95" s="14"/>
      <c r="D95" s="14"/>
      <c r="E95" s="14"/>
      <c r="F95" s="14"/>
      <c r="G95" s="14"/>
      <c r="H95" s="14"/>
      <c r="I95" s="14"/>
      <c r="J95" s="14">
        <f t="shared" si="9"/>
        <v>0</v>
      </c>
      <c r="K95" s="14">
        <f t="shared" si="10"/>
        <v>6</v>
      </c>
      <c r="L95" s="14">
        <f t="shared" si="11"/>
        <v>-6</v>
      </c>
      <c r="M95" s="13"/>
    </row>
    <row r="96" spans="1:13" ht="15" customHeight="1" x14ac:dyDescent="0.45">
      <c r="A96" s="19">
        <v>46235</v>
      </c>
      <c r="B96" s="14" t="str">
        <f t="shared" si="8"/>
        <v>Sat</v>
      </c>
      <c r="C96" s="14"/>
      <c r="D96" s="14"/>
      <c r="E96" s="14"/>
      <c r="F96" s="14"/>
      <c r="G96" s="14"/>
      <c r="H96" s="14"/>
      <c r="I96" s="14"/>
      <c r="J96" s="14">
        <f t="shared" si="9"/>
        <v>0</v>
      </c>
      <c r="K96" s="14">
        <f t="shared" si="10"/>
        <v>6</v>
      </c>
      <c r="L96" s="14">
        <f t="shared" si="11"/>
        <v>-6</v>
      </c>
      <c r="M96" s="13"/>
    </row>
    <row r="97" spans="1:13" ht="15" customHeight="1" x14ac:dyDescent="0.45">
      <c r="A97" s="19">
        <v>46236</v>
      </c>
      <c r="B97" s="14" t="str">
        <f t="shared" si="8"/>
        <v>Sun</v>
      </c>
      <c r="C97" s="14"/>
      <c r="D97" s="14"/>
      <c r="E97" s="14"/>
      <c r="F97" s="14"/>
      <c r="G97" s="14"/>
      <c r="H97" s="14"/>
      <c r="I97" s="14"/>
      <c r="J97" s="14">
        <f t="shared" si="9"/>
        <v>0</v>
      </c>
      <c r="K97" s="14">
        <f t="shared" si="10"/>
        <v>0</v>
      </c>
      <c r="L97" s="14">
        <f t="shared" si="11"/>
        <v>0</v>
      </c>
      <c r="M97" s="13"/>
    </row>
    <row r="98" spans="1:13" ht="15" customHeight="1" x14ac:dyDescent="0.45">
      <c r="A98" s="19">
        <v>46237</v>
      </c>
      <c r="B98" s="14" t="str">
        <f t="shared" ref="B98:B129" si="12">TEXT(A98,"ddd")</f>
        <v>Mon</v>
      </c>
      <c r="C98" s="14"/>
      <c r="D98" s="14"/>
      <c r="E98" s="14"/>
      <c r="F98" s="14"/>
      <c r="G98" s="14"/>
      <c r="H98" s="14"/>
      <c r="I98" s="14"/>
      <c r="J98" s="14">
        <f t="shared" ref="J98:J129" si="13">SUM(C98:I98)</f>
        <v>0</v>
      </c>
      <c r="K98" s="14">
        <f t="shared" ref="K98:K129" si="14">IF(WEEKDAY(A98,2)=7,0,6)</f>
        <v>6</v>
      </c>
      <c r="L98" s="14">
        <f t="shared" ref="L98:L129" si="15">J98-K98</f>
        <v>-6</v>
      </c>
      <c r="M98" s="13"/>
    </row>
    <row r="99" spans="1:13" ht="15" customHeight="1" x14ac:dyDescent="0.45">
      <c r="A99" s="19">
        <v>46238</v>
      </c>
      <c r="B99" s="14" t="str">
        <f t="shared" si="12"/>
        <v>Tue</v>
      </c>
      <c r="C99" s="14"/>
      <c r="D99" s="14"/>
      <c r="E99" s="14"/>
      <c r="F99" s="14"/>
      <c r="G99" s="14"/>
      <c r="H99" s="14"/>
      <c r="I99" s="14"/>
      <c r="J99" s="14">
        <f t="shared" si="13"/>
        <v>0</v>
      </c>
      <c r="K99" s="14">
        <f t="shared" si="14"/>
        <v>6</v>
      </c>
      <c r="L99" s="14">
        <f t="shared" si="15"/>
        <v>-6</v>
      </c>
      <c r="M99" s="13"/>
    </row>
    <row r="100" spans="1:13" ht="15" customHeight="1" x14ac:dyDescent="0.45">
      <c r="A100" s="19">
        <v>46239</v>
      </c>
      <c r="B100" s="14" t="str">
        <f t="shared" si="12"/>
        <v>Wed</v>
      </c>
      <c r="C100" s="14"/>
      <c r="D100" s="14"/>
      <c r="E100" s="14"/>
      <c r="F100" s="14"/>
      <c r="G100" s="14"/>
      <c r="H100" s="14"/>
      <c r="I100" s="14"/>
      <c r="J100" s="14">
        <f t="shared" si="13"/>
        <v>0</v>
      </c>
      <c r="K100" s="14">
        <f t="shared" si="14"/>
        <v>6</v>
      </c>
      <c r="L100" s="14">
        <f t="shared" si="15"/>
        <v>-6</v>
      </c>
      <c r="M100" s="13"/>
    </row>
    <row r="101" spans="1:13" ht="15" customHeight="1" x14ac:dyDescent="0.45">
      <c r="A101" s="19">
        <v>46240</v>
      </c>
      <c r="B101" s="14" t="str">
        <f t="shared" si="12"/>
        <v>Thu</v>
      </c>
      <c r="C101" s="14"/>
      <c r="D101" s="14"/>
      <c r="E101" s="14"/>
      <c r="F101" s="14"/>
      <c r="G101" s="14"/>
      <c r="H101" s="14"/>
      <c r="I101" s="14"/>
      <c r="J101" s="14">
        <f t="shared" si="13"/>
        <v>0</v>
      </c>
      <c r="K101" s="14">
        <f t="shared" si="14"/>
        <v>6</v>
      </c>
      <c r="L101" s="14">
        <f t="shared" si="15"/>
        <v>-6</v>
      </c>
      <c r="M101" s="13"/>
    </row>
    <row r="102" spans="1:13" ht="15" customHeight="1" x14ac:dyDescent="0.45">
      <c r="A102" s="19">
        <v>46241</v>
      </c>
      <c r="B102" s="14" t="str">
        <f t="shared" si="12"/>
        <v>Fri</v>
      </c>
      <c r="C102" s="14"/>
      <c r="D102" s="14"/>
      <c r="E102" s="14"/>
      <c r="F102" s="14"/>
      <c r="G102" s="14"/>
      <c r="H102" s="14"/>
      <c r="I102" s="14"/>
      <c r="J102" s="14">
        <f t="shared" si="13"/>
        <v>0</v>
      </c>
      <c r="K102" s="14">
        <f t="shared" si="14"/>
        <v>6</v>
      </c>
      <c r="L102" s="14">
        <f t="shared" si="15"/>
        <v>-6</v>
      </c>
      <c r="M102" s="13"/>
    </row>
    <row r="103" spans="1:13" ht="15" customHeight="1" x14ac:dyDescent="0.45">
      <c r="A103" s="19">
        <v>46242</v>
      </c>
      <c r="B103" s="14" t="str">
        <f t="shared" si="12"/>
        <v>Sat</v>
      </c>
      <c r="C103" s="14"/>
      <c r="D103" s="14"/>
      <c r="E103" s="14"/>
      <c r="F103" s="14"/>
      <c r="G103" s="14"/>
      <c r="H103" s="14"/>
      <c r="I103" s="14"/>
      <c r="J103" s="14">
        <f t="shared" si="13"/>
        <v>0</v>
      </c>
      <c r="K103" s="14">
        <f t="shared" si="14"/>
        <v>6</v>
      </c>
      <c r="L103" s="14">
        <f t="shared" si="15"/>
        <v>-6</v>
      </c>
      <c r="M103" s="13"/>
    </row>
    <row r="104" spans="1:13" ht="15" customHeight="1" x14ac:dyDescent="0.45">
      <c r="A104" s="19">
        <v>46243</v>
      </c>
      <c r="B104" s="14" t="str">
        <f t="shared" si="12"/>
        <v>Sun</v>
      </c>
      <c r="C104" s="14"/>
      <c r="D104" s="14"/>
      <c r="E104" s="14"/>
      <c r="F104" s="14"/>
      <c r="G104" s="14"/>
      <c r="H104" s="14"/>
      <c r="I104" s="14"/>
      <c r="J104" s="14">
        <f t="shared" si="13"/>
        <v>0</v>
      </c>
      <c r="K104" s="14">
        <f t="shared" si="14"/>
        <v>0</v>
      </c>
      <c r="L104" s="14">
        <f t="shared" si="15"/>
        <v>0</v>
      </c>
      <c r="M104" s="13"/>
    </row>
    <row r="105" spans="1:13" ht="15" customHeight="1" x14ac:dyDescent="0.45">
      <c r="A105" s="19">
        <v>46244</v>
      </c>
      <c r="B105" s="14" t="str">
        <f t="shared" si="12"/>
        <v>Mon</v>
      </c>
      <c r="C105" s="14"/>
      <c r="D105" s="14"/>
      <c r="E105" s="14"/>
      <c r="F105" s="14"/>
      <c r="G105" s="14"/>
      <c r="H105" s="14"/>
      <c r="I105" s="14"/>
      <c r="J105" s="14">
        <f t="shared" si="13"/>
        <v>0</v>
      </c>
      <c r="K105" s="14">
        <f t="shared" si="14"/>
        <v>6</v>
      </c>
      <c r="L105" s="14">
        <f t="shared" si="15"/>
        <v>-6</v>
      </c>
      <c r="M105" s="13"/>
    </row>
    <row r="106" spans="1:13" ht="15" customHeight="1" x14ac:dyDescent="0.45">
      <c r="A106" s="19">
        <v>46245</v>
      </c>
      <c r="B106" s="14" t="str">
        <f t="shared" si="12"/>
        <v>Tue</v>
      </c>
      <c r="C106" s="14"/>
      <c r="D106" s="14"/>
      <c r="E106" s="14"/>
      <c r="F106" s="14"/>
      <c r="G106" s="14"/>
      <c r="H106" s="14"/>
      <c r="I106" s="14"/>
      <c r="J106" s="14">
        <f t="shared" si="13"/>
        <v>0</v>
      </c>
      <c r="K106" s="14">
        <f t="shared" si="14"/>
        <v>6</v>
      </c>
      <c r="L106" s="14">
        <f t="shared" si="15"/>
        <v>-6</v>
      </c>
      <c r="M106" s="13"/>
    </row>
    <row r="107" spans="1:13" ht="15" customHeight="1" x14ac:dyDescent="0.45">
      <c r="A107" s="19">
        <v>46246</v>
      </c>
      <c r="B107" s="14" t="str">
        <f t="shared" si="12"/>
        <v>Wed</v>
      </c>
      <c r="C107" s="14"/>
      <c r="D107" s="14"/>
      <c r="E107" s="14"/>
      <c r="F107" s="14"/>
      <c r="G107" s="14"/>
      <c r="H107" s="14"/>
      <c r="I107" s="14"/>
      <c r="J107" s="14">
        <f t="shared" si="13"/>
        <v>0</v>
      </c>
      <c r="K107" s="14">
        <f t="shared" si="14"/>
        <v>6</v>
      </c>
      <c r="L107" s="14">
        <f t="shared" si="15"/>
        <v>-6</v>
      </c>
      <c r="M107" s="13"/>
    </row>
    <row r="108" spans="1:13" ht="15" customHeight="1" x14ac:dyDescent="0.45">
      <c r="A108" s="19">
        <v>46247</v>
      </c>
      <c r="B108" s="14" t="str">
        <f t="shared" si="12"/>
        <v>Thu</v>
      </c>
      <c r="C108" s="14"/>
      <c r="D108" s="14"/>
      <c r="E108" s="14"/>
      <c r="F108" s="14"/>
      <c r="G108" s="14"/>
      <c r="H108" s="14"/>
      <c r="I108" s="14"/>
      <c r="J108" s="14">
        <f t="shared" si="13"/>
        <v>0</v>
      </c>
      <c r="K108" s="14">
        <f t="shared" si="14"/>
        <v>6</v>
      </c>
      <c r="L108" s="14">
        <f t="shared" si="15"/>
        <v>-6</v>
      </c>
      <c r="M108" s="13"/>
    </row>
    <row r="109" spans="1:13" ht="15" customHeight="1" x14ac:dyDescent="0.45">
      <c r="A109" s="19">
        <v>46248</v>
      </c>
      <c r="B109" s="14" t="str">
        <f t="shared" si="12"/>
        <v>Fri</v>
      </c>
      <c r="C109" s="14"/>
      <c r="D109" s="14"/>
      <c r="E109" s="14"/>
      <c r="F109" s="14"/>
      <c r="G109" s="14"/>
      <c r="H109" s="14"/>
      <c r="I109" s="14"/>
      <c r="J109" s="14">
        <f t="shared" si="13"/>
        <v>0</v>
      </c>
      <c r="K109" s="14">
        <f t="shared" si="14"/>
        <v>6</v>
      </c>
      <c r="L109" s="14">
        <f t="shared" si="15"/>
        <v>-6</v>
      </c>
      <c r="M109" s="13"/>
    </row>
    <row r="110" spans="1:13" ht="15" customHeight="1" x14ac:dyDescent="0.45">
      <c r="A110" s="19">
        <v>46249</v>
      </c>
      <c r="B110" s="14" t="str">
        <f t="shared" si="12"/>
        <v>Sat</v>
      </c>
      <c r="C110" s="14"/>
      <c r="D110" s="14"/>
      <c r="E110" s="14"/>
      <c r="F110" s="14"/>
      <c r="G110" s="14"/>
      <c r="H110" s="14"/>
      <c r="I110" s="14"/>
      <c r="J110" s="14">
        <f t="shared" si="13"/>
        <v>0</v>
      </c>
      <c r="K110" s="14">
        <f t="shared" si="14"/>
        <v>6</v>
      </c>
      <c r="L110" s="14">
        <f t="shared" si="15"/>
        <v>-6</v>
      </c>
      <c r="M110" s="13"/>
    </row>
    <row r="111" spans="1:13" ht="15" customHeight="1" x14ac:dyDescent="0.45">
      <c r="A111" s="19">
        <v>46250</v>
      </c>
      <c r="B111" s="14" t="str">
        <f t="shared" si="12"/>
        <v>Sun</v>
      </c>
      <c r="C111" s="14"/>
      <c r="D111" s="14"/>
      <c r="E111" s="14"/>
      <c r="F111" s="14"/>
      <c r="G111" s="14"/>
      <c r="H111" s="14"/>
      <c r="I111" s="14"/>
      <c r="J111" s="14">
        <f t="shared" si="13"/>
        <v>0</v>
      </c>
      <c r="K111" s="14">
        <f t="shared" si="14"/>
        <v>0</v>
      </c>
      <c r="L111" s="14">
        <f t="shared" si="15"/>
        <v>0</v>
      </c>
      <c r="M111" s="13"/>
    </row>
    <row r="112" spans="1:13" ht="15" customHeight="1" x14ac:dyDescent="0.45">
      <c r="A112" s="19">
        <v>46251</v>
      </c>
      <c r="B112" s="14" t="str">
        <f t="shared" si="12"/>
        <v>Mon</v>
      </c>
      <c r="C112" s="14"/>
      <c r="D112" s="14"/>
      <c r="E112" s="14"/>
      <c r="F112" s="14"/>
      <c r="G112" s="14"/>
      <c r="H112" s="14"/>
      <c r="I112" s="14"/>
      <c r="J112" s="14">
        <f t="shared" si="13"/>
        <v>0</v>
      </c>
      <c r="K112" s="14">
        <f t="shared" si="14"/>
        <v>6</v>
      </c>
      <c r="L112" s="14">
        <f t="shared" si="15"/>
        <v>-6</v>
      </c>
      <c r="M112" s="13"/>
    </row>
    <row r="113" spans="1:13" ht="15" customHeight="1" x14ac:dyDescent="0.45">
      <c r="A113" s="19">
        <v>46252</v>
      </c>
      <c r="B113" s="14" t="str">
        <f t="shared" si="12"/>
        <v>Tue</v>
      </c>
      <c r="C113" s="14"/>
      <c r="D113" s="14"/>
      <c r="E113" s="14"/>
      <c r="F113" s="14"/>
      <c r="G113" s="14"/>
      <c r="H113" s="14"/>
      <c r="I113" s="14"/>
      <c r="J113" s="14">
        <f t="shared" si="13"/>
        <v>0</v>
      </c>
      <c r="K113" s="14">
        <f t="shared" si="14"/>
        <v>6</v>
      </c>
      <c r="L113" s="14">
        <f t="shared" si="15"/>
        <v>-6</v>
      </c>
      <c r="M113" s="13"/>
    </row>
    <row r="114" spans="1:13" ht="15" customHeight="1" x14ac:dyDescent="0.45">
      <c r="A114" s="19">
        <v>46253</v>
      </c>
      <c r="B114" s="14" t="str">
        <f t="shared" si="12"/>
        <v>Wed</v>
      </c>
      <c r="C114" s="14"/>
      <c r="D114" s="14"/>
      <c r="E114" s="14"/>
      <c r="F114" s="14"/>
      <c r="G114" s="14"/>
      <c r="H114" s="14"/>
      <c r="I114" s="14"/>
      <c r="J114" s="14">
        <f t="shared" si="13"/>
        <v>0</v>
      </c>
      <c r="K114" s="14">
        <f t="shared" si="14"/>
        <v>6</v>
      </c>
      <c r="L114" s="14">
        <f t="shared" si="15"/>
        <v>-6</v>
      </c>
      <c r="M114" s="13"/>
    </row>
    <row r="115" spans="1:13" ht="15" customHeight="1" x14ac:dyDescent="0.45">
      <c r="A115" s="19">
        <v>46254</v>
      </c>
      <c r="B115" s="14" t="str">
        <f t="shared" si="12"/>
        <v>Thu</v>
      </c>
      <c r="C115" s="14"/>
      <c r="D115" s="14"/>
      <c r="E115" s="14"/>
      <c r="F115" s="14"/>
      <c r="G115" s="14"/>
      <c r="H115" s="14"/>
      <c r="I115" s="14"/>
      <c r="J115" s="14">
        <f t="shared" si="13"/>
        <v>0</v>
      </c>
      <c r="K115" s="14">
        <f t="shared" si="14"/>
        <v>6</v>
      </c>
      <c r="L115" s="14">
        <f t="shared" si="15"/>
        <v>-6</v>
      </c>
      <c r="M115" s="13"/>
    </row>
    <row r="116" spans="1:13" ht="15" customHeight="1" x14ac:dyDescent="0.45">
      <c r="A116" s="19">
        <v>46255</v>
      </c>
      <c r="B116" s="14" t="str">
        <f t="shared" si="12"/>
        <v>Fri</v>
      </c>
      <c r="C116" s="14"/>
      <c r="D116" s="14"/>
      <c r="E116" s="14"/>
      <c r="F116" s="14"/>
      <c r="G116" s="14"/>
      <c r="H116" s="14"/>
      <c r="I116" s="14"/>
      <c r="J116" s="14">
        <f t="shared" si="13"/>
        <v>0</v>
      </c>
      <c r="K116" s="14">
        <f t="shared" si="14"/>
        <v>6</v>
      </c>
      <c r="L116" s="14">
        <f t="shared" si="15"/>
        <v>-6</v>
      </c>
      <c r="M116" s="13"/>
    </row>
    <row r="117" spans="1:13" ht="15" customHeight="1" x14ac:dyDescent="0.45">
      <c r="A117" s="19">
        <v>46256</v>
      </c>
      <c r="B117" s="14" t="str">
        <f t="shared" si="12"/>
        <v>Sat</v>
      </c>
      <c r="C117" s="14"/>
      <c r="D117" s="14"/>
      <c r="E117" s="14"/>
      <c r="F117" s="14"/>
      <c r="G117" s="14"/>
      <c r="H117" s="14"/>
      <c r="I117" s="14"/>
      <c r="J117" s="14">
        <f t="shared" si="13"/>
        <v>0</v>
      </c>
      <c r="K117" s="14">
        <f t="shared" si="14"/>
        <v>6</v>
      </c>
      <c r="L117" s="14">
        <f t="shared" si="15"/>
        <v>-6</v>
      </c>
      <c r="M117" s="13"/>
    </row>
    <row r="118" spans="1:13" ht="15" customHeight="1" x14ac:dyDescent="0.45">
      <c r="A118" s="19">
        <v>46257</v>
      </c>
      <c r="B118" s="14" t="str">
        <f t="shared" si="12"/>
        <v>Sun</v>
      </c>
      <c r="C118" s="14"/>
      <c r="D118" s="14"/>
      <c r="E118" s="14"/>
      <c r="F118" s="14"/>
      <c r="G118" s="14"/>
      <c r="H118" s="14"/>
      <c r="I118" s="14"/>
      <c r="J118" s="14">
        <f t="shared" si="13"/>
        <v>0</v>
      </c>
      <c r="K118" s="14">
        <f t="shared" si="14"/>
        <v>0</v>
      </c>
      <c r="L118" s="14">
        <f t="shared" si="15"/>
        <v>0</v>
      </c>
      <c r="M118" s="13"/>
    </row>
    <row r="119" spans="1:13" ht="15" customHeight="1" x14ac:dyDescent="0.45">
      <c r="A119" s="19">
        <v>46258</v>
      </c>
      <c r="B119" s="14" t="str">
        <f t="shared" si="12"/>
        <v>Mon</v>
      </c>
      <c r="C119" s="14"/>
      <c r="D119" s="14"/>
      <c r="E119" s="14"/>
      <c r="F119" s="14"/>
      <c r="G119" s="14"/>
      <c r="H119" s="14"/>
      <c r="I119" s="14"/>
      <c r="J119" s="14">
        <f t="shared" si="13"/>
        <v>0</v>
      </c>
      <c r="K119" s="14">
        <f t="shared" si="14"/>
        <v>6</v>
      </c>
      <c r="L119" s="14">
        <f t="shared" si="15"/>
        <v>-6</v>
      </c>
      <c r="M119" s="13"/>
    </row>
    <row r="120" spans="1:13" ht="15" customHeight="1" x14ac:dyDescent="0.45">
      <c r="A120" s="19">
        <v>46259</v>
      </c>
      <c r="B120" s="14" t="str">
        <f t="shared" si="12"/>
        <v>Tue</v>
      </c>
      <c r="C120" s="14"/>
      <c r="D120" s="14"/>
      <c r="E120" s="14"/>
      <c r="F120" s="14"/>
      <c r="G120" s="14"/>
      <c r="H120" s="14"/>
      <c r="I120" s="14"/>
      <c r="J120" s="14">
        <f t="shared" si="13"/>
        <v>0</v>
      </c>
      <c r="K120" s="14">
        <f t="shared" si="14"/>
        <v>6</v>
      </c>
      <c r="L120" s="14">
        <f t="shared" si="15"/>
        <v>-6</v>
      </c>
      <c r="M120" s="13"/>
    </row>
    <row r="121" spans="1:13" ht="15" customHeight="1" x14ac:dyDescent="0.45">
      <c r="A121" s="19">
        <v>46260</v>
      </c>
      <c r="B121" s="14" t="str">
        <f t="shared" si="12"/>
        <v>Wed</v>
      </c>
      <c r="C121" s="14"/>
      <c r="D121" s="14"/>
      <c r="E121" s="14"/>
      <c r="F121" s="14"/>
      <c r="G121" s="14"/>
      <c r="H121" s="14"/>
      <c r="I121" s="14"/>
      <c r="J121" s="14">
        <f t="shared" si="13"/>
        <v>0</v>
      </c>
      <c r="K121" s="14">
        <f t="shared" si="14"/>
        <v>6</v>
      </c>
      <c r="L121" s="14">
        <f t="shared" si="15"/>
        <v>-6</v>
      </c>
      <c r="M121" s="13"/>
    </row>
    <row r="122" spans="1:13" ht="15" customHeight="1" x14ac:dyDescent="0.45">
      <c r="A122" s="19">
        <v>46261</v>
      </c>
      <c r="B122" s="14" t="str">
        <f t="shared" si="12"/>
        <v>Thu</v>
      </c>
      <c r="C122" s="14"/>
      <c r="D122" s="14"/>
      <c r="E122" s="14"/>
      <c r="F122" s="14"/>
      <c r="G122" s="14"/>
      <c r="H122" s="14"/>
      <c r="I122" s="14"/>
      <c r="J122" s="14">
        <f t="shared" si="13"/>
        <v>0</v>
      </c>
      <c r="K122" s="14">
        <f t="shared" si="14"/>
        <v>6</v>
      </c>
      <c r="L122" s="14">
        <f t="shared" si="15"/>
        <v>-6</v>
      </c>
      <c r="M122" s="13"/>
    </row>
    <row r="123" spans="1:13" ht="15" customHeight="1" x14ac:dyDescent="0.45">
      <c r="A123" s="19">
        <v>46262</v>
      </c>
      <c r="B123" s="14" t="str">
        <f t="shared" si="12"/>
        <v>Fri</v>
      </c>
      <c r="C123" s="14"/>
      <c r="D123" s="14"/>
      <c r="E123" s="14"/>
      <c r="F123" s="14"/>
      <c r="G123" s="14"/>
      <c r="H123" s="14"/>
      <c r="I123" s="14"/>
      <c r="J123" s="14">
        <f t="shared" si="13"/>
        <v>0</v>
      </c>
      <c r="K123" s="14">
        <f t="shared" si="14"/>
        <v>6</v>
      </c>
      <c r="L123" s="14">
        <f t="shared" si="15"/>
        <v>-6</v>
      </c>
      <c r="M123" s="13"/>
    </row>
    <row r="124" spans="1:13" ht="15" customHeight="1" x14ac:dyDescent="0.45">
      <c r="A124" s="19">
        <v>46263</v>
      </c>
      <c r="B124" s="14" t="str">
        <f t="shared" si="12"/>
        <v>Sat</v>
      </c>
      <c r="C124" s="14"/>
      <c r="D124" s="14"/>
      <c r="E124" s="14"/>
      <c r="F124" s="14"/>
      <c r="G124" s="14"/>
      <c r="H124" s="14"/>
      <c r="I124" s="14"/>
      <c r="J124" s="14">
        <f t="shared" si="13"/>
        <v>0</v>
      </c>
      <c r="K124" s="14">
        <f t="shared" si="14"/>
        <v>6</v>
      </c>
      <c r="L124" s="14">
        <f t="shared" si="15"/>
        <v>-6</v>
      </c>
      <c r="M124" s="13"/>
    </row>
    <row r="125" spans="1:13" ht="15" customHeight="1" x14ac:dyDescent="0.45">
      <c r="A125" s="19">
        <v>46264</v>
      </c>
      <c r="B125" s="14" t="str">
        <f t="shared" si="12"/>
        <v>Sun</v>
      </c>
      <c r="C125" s="14"/>
      <c r="D125" s="14"/>
      <c r="E125" s="14"/>
      <c r="F125" s="14"/>
      <c r="G125" s="14"/>
      <c r="H125" s="14"/>
      <c r="I125" s="14"/>
      <c r="J125" s="14">
        <f t="shared" si="13"/>
        <v>0</v>
      </c>
      <c r="K125" s="14">
        <f t="shared" si="14"/>
        <v>0</v>
      </c>
      <c r="L125" s="14">
        <f t="shared" si="15"/>
        <v>0</v>
      </c>
      <c r="M125" s="13"/>
    </row>
    <row r="126" spans="1:13" ht="15" customHeight="1" x14ac:dyDescent="0.45">
      <c r="A126" s="19">
        <v>46265</v>
      </c>
      <c r="B126" s="14" t="str">
        <f t="shared" si="12"/>
        <v>Mon</v>
      </c>
      <c r="C126" s="14"/>
      <c r="D126" s="14"/>
      <c r="E126" s="14"/>
      <c r="F126" s="14"/>
      <c r="G126" s="14"/>
      <c r="H126" s="14"/>
      <c r="I126" s="14"/>
      <c r="J126" s="14">
        <f t="shared" si="13"/>
        <v>0</v>
      </c>
      <c r="K126" s="14">
        <f t="shared" si="14"/>
        <v>6</v>
      </c>
      <c r="L126" s="14">
        <f t="shared" si="15"/>
        <v>-6</v>
      </c>
      <c r="M126" s="13"/>
    </row>
    <row r="127" spans="1:13" ht="15" customHeight="1" x14ac:dyDescent="0.45">
      <c r="A127" s="19">
        <v>46266</v>
      </c>
      <c r="B127" s="14" t="str">
        <f t="shared" si="12"/>
        <v>Tue</v>
      </c>
      <c r="C127" s="14"/>
      <c r="D127" s="14"/>
      <c r="E127" s="14"/>
      <c r="F127" s="14"/>
      <c r="G127" s="14"/>
      <c r="H127" s="14"/>
      <c r="I127" s="14"/>
      <c r="J127" s="14">
        <f t="shared" si="13"/>
        <v>0</v>
      </c>
      <c r="K127" s="14">
        <f t="shared" si="14"/>
        <v>6</v>
      </c>
      <c r="L127" s="14">
        <f t="shared" si="15"/>
        <v>-6</v>
      </c>
      <c r="M127" s="13"/>
    </row>
    <row r="128" spans="1:13" ht="15" customHeight="1" x14ac:dyDescent="0.45">
      <c r="A128" s="19">
        <v>46267</v>
      </c>
      <c r="B128" s="14" t="str">
        <f t="shared" si="12"/>
        <v>Wed</v>
      </c>
      <c r="C128" s="14"/>
      <c r="D128" s="14"/>
      <c r="E128" s="14"/>
      <c r="F128" s="14"/>
      <c r="G128" s="14"/>
      <c r="H128" s="14"/>
      <c r="I128" s="14"/>
      <c r="J128" s="14">
        <f t="shared" si="13"/>
        <v>0</v>
      </c>
      <c r="K128" s="14">
        <f t="shared" si="14"/>
        <v>6</v>
      </c>
      <c r="L128" s="14">
        <f t="shared" si="15"/>
        <v>-6</v>
      </c>
      <c r="M128" s="13"/>
    </row>
    <row r="129" spans="1:13" ht="15" customHeight="1" x14ac:dyDescent="0.45">
      <c r="A129" s="19">
        <v>46268</v>
      </c>
      <c r="B129" s="14" t="str">
        <f t="shared" si="12"/>
        <v>Thu</v>
      </c>
      <c r="C129" s="14"/>
      <c r="D129" s="14"/>
      <c r="E129" s="14"/>
      <c r="F129" s="14"/>
      <c r="G129" s="14"/>
      <c r="H129" s="14"/>
      <c r="I129" s="14"/>
      <c r="J129" s="14">
        <f t="shared" si="13"/>
        <v>0</v>
      </c>
      <c r="K129" s="14">
        <f t="shared" si="14"/>
        <v>6</v>
      </c>
      <c r="L129" s="14">
        <f t="shared" si="15"/>
        <v>-6</v>
      </c>
      <c r="M129" s="13"/>
    </row>
    <row r="130" spans="1:13" ht="15" customHeight="1" x14ac:dyDescent="0.45">
      <c r="A130" s="19">
        <v>46269</v>
      </c>
      <c r="B130" s="14" t="str">
        <f t="shared" ref="B130:B161" si="16">TEXT(A130,"ddd")</f>
        <v>Fri</v>
      </c>
      <c r="C130" s="14"/>
      <c r="D130" s="14"/>
      <c r="E130" s="14"/>
      <c r="F130" s="14"/>
      <c r="G130" s="14"/>
      <c r="H130" s="14"/>
      <c r="I130" s="14"/>
      <c r="J130" s="14">
        <f t="shared" ref="J130:J161" si="17">SUM(C130:I130)</f>
        <v>0</v>
      </c>
      <c r="K130" s="14">
        <f t="shared" ref="K130:K161" si="18">IF(WEEKDAY(A130,2)=7,0,6)</f>
        <v>6</v>
      </c>
      <c r="L130" s="14">
        <f t="shared" ref="L130:L161" si="19">J130-K130</f>
        <v>-6</v>
      </c>
      <c r="M130" s="13"/>
    </row>
    <row r="131" spans="1:13" ht="15" customHeight="1" x14ac:dyDescent="0.45">
      <c r="A131" s="19">
        <v>46270</v>
      </c>
      <c r="B131" s="14" t="str">
        <f t="shared" si="16"/>
        <v>Sat</v>
      </c>
      <c r="C131" s="14"/>
      <c r="D131" s="14"/>
      <c r="E131" s="14"/>
      <c r="F131" s="14"/>
      <c r="G131" s="14"/>
      <c r="H131" s="14"/>
      <c r="I131" s="14"/>
      <c r="J131" s="14">
        <f t="shared" si="17"/>
        <v>0</v>
      </c>
      <c r="K131" s="14">
        <f t="shared" si="18"/>
        <v>6</v>
      </c>
      <c r="L131" s="14">
        <f t="shared" si="19"/>
        <v>-6</v>
      </c>
      <c r="M131" s="13"/>
    </row>
    <row r="132" spans="1:13" ht="15" customHeight="1" x14ac:dyDescent="0.45">
      <c r="A132" s="19">
        <v>46271</v>
      </c>
      <c r="B132" s="14" t="str">
        <f t="shared" si="16"/>
        <v>Sun</v>
      </c>
      <c r="C132" s="14"/>
      <c r="D132" s="14"/>
      <c r="E132" s="14"/>
      <c r="F132" s="14"/>
      <c r="G132" s="14"/>
      <c r="H132" s="14"/>
      <c r="I132" s="14"/>
      <c r="J132" s="14">
        <f t="shared" si="17"/>
        <v>0</v>
      </c>
      <c r="K132" s="14">
        <f t="shared" si="18"/>
        <v>0</v>
      </c>
      <c r="L132" s="14">
        <f t="shared" si="19"/>
        <v>0</v>
      </c>
      <c r="M132" s="13"/>
    </row>
    <row r="133" spans="1:13" ht="15" customHeight="1" x14ac:dyDescent="0.45">
      <c r="A133" s="19">
        <v>46272</v>
      </c>
      <c r="B133" s="14" t="str">
        <f t="shared" si="16"/>
        <v>Mon</v>
      </c>
      <c r="C133" s="14"/>
      <c r="D133" s="14"/>
      <c r="E133" s="14"/>
      <c r="F133" s="14"/>
      <c r="G133" s="14"/>
      <c r="H133" s="14"/>
      <c r="I133" s="14"/>
      <c r="J133" s="14">
        <f t="shared" si="17"/>
        <v>0</v>
      </c>
      <c r="K133" s="14">
        <f t="shared" si="18"/>
        <v>6</v>
      </c>
      <c r="L133" s="14">
        <f t="shared" si="19"/>
        <v>-6</v>
      </c>
      <c r="M133" s="13"/>
    </row>
    <row r="134" spans="1:13" ht="15" customHeight="1" x14ac:dyDescent="0.45">
      <c r="A134" s="19">
        <v>46273</v>
      </c>
      <c r="B134" s="14" t="str">
        <f t="shared" si="16"/>
        <v>Tue</v>
      </c>
      <c r="C134" s="14"/>
      <c r="D134" s="14"/>
      <c r="E134" s="14"/>
      <c r="F134" s="14"/>
      <c r="G134" s="14"/>
      <c r="H134" s="14"/>
      <c r="I134" s="14"/>
      <c r="J134" s="14">
        <f t="shared" si="17"/>
        <v>0</v>
      </c>
      <c r="K134" s="14">
        <f t="shared" si="18"/>
        <v>6</v>
      </c>
      <c r="L134" s="14">
        <f t="shared" si="19"/>
        <v>-6</v>
      </c>
      <c r="M134" s="13"/>
    </row>
    <row r="135" spans="1:13" ht="15" customHeight="1" x14ac:dyDescent="0.45">
      <c r="A135" s="19">
        <v>46274</v>
      </c>
      <c r="B135" s="14" t="str">
        <f t="shared" si="16"/>
        <v>Wed</v>
      </c>
      <c r="C135" s="14"/>
      <c r="D135" s="14"/>
      <c r="E135" s="14"/>
      <c r="F135" s="14"/>
      <c r="G135" s="14"/>
      <c r="H135" s="14"/>
      <c r="I135" s="14"/>
      <c r="J135" s="14">
        <f t="shared" si="17"/>
        <v>0</v>
      </c>
      <c r="K135" s="14">
        <f t="shared" si="18"/>
        <v>6</v>
      </c>
      <c r="L135" s="14">
        <f t="shared" si="19"/>
        <v>-6</v>
      </c>
      <c r="M135" s="13"/>
    </row>
    <row r="136" spans="1:13" ht="15" customHeight="1" x14ac:dyDescent="0.45">
      <c r="A136" s="19">
        <v>46275</v>
      </c>
      <c r="B136" s="14" t="str">
        <f t="shared" si="16"/>
        <v>Thu</v>
      </c>
      <c r="C136" s="14"/>
      <c r="D136" s="14"/>
      <c r="E136" s="14"/>
      <c r="F136" s="14"/>
      <c r="G136" s="14"/>
      <c r="H136" s="14"/>
      <c r="I136" s="14"/>
      <c r="J136" s="14">
        <f t="shared" si="17"/>
        <v>0</v>
      </c>
      <c r="K136" s="14">
        <f t="shared" si="18"/>
        <v>6</v>
      </c>
      <c r="L136" s="14">
        <f t="shared" si="19"/>
        <v>-6</v>
      </c>
      <c r="M136" s="13"/>
    </row>
    <row r="137" spans="1:13" ht="15" customHeight="1" x14ac:dyDescent="0.45">
      <c r="A137" s="19">
        <v>46276</v>
      </c>
      <c r="B137" s="14" t="str">
        <f t="shared" si="16"/>
        <v>Fri</v>
      </c>
      <c r="C137" s="14"/>
      <c r="D137" s="14"/>
      <c r="E137" s="14"/>
      <c r="F137" s="14"/>
      <c r="G137" s="14"/>
      <c r="H137" s="14"/>
      <c r="I137" s="14"/>
      <c r="J137" s="14">
        <f t="shared" si="17"/>
        <v>0</v>
      </c>
      <c r="K137" s="14">
        <f t="shared" si="18"/>
        <v>6</v>
      </c>
      <c r="L137" s="14">
        <f t="shared" si="19"/>
        <v>-6</v>
      </c>
      <c r="M137" s="13"/>
    </row>
    <row r="138" spans="1:13" ht="15" customHeight="1" x14ac:dyDescent="0.45">
      <c r="A138" s="19">
        <v>46277</v>
      </c>
      <c r="B138" s="14" t="str">
        <f t="shared" si="16"/>
        <v>Sat</v>
      </c>
      <c r="C138" s="14"/>
      <c r="D138" s="14"/>
      <c r="E138" s="14"/>
      <c r="F138" s="14"/>
      <c r="G138" s="14"/>
      <c r="H138" s="14"/>
      <c r="I138" s="14"/>
      <c r="J138" s="14">
        <f t="shared" si="17"/>
        <v>0</v>
      </c>
      <c r="K138" s="14">
        <f t="shared" si="18"/>
        <v>6</v>
      </c>
      <c r="L138" s="14">
        <f t="shared" si="19"/>
        <v>-6</v>
      </c>
      <c r="M138" s="13"/>
    </row>
    <row r="139" spans="1:13" ht="15" customHeight="1" x14ac:dyDescent="0.45">
      <c r="A139" s="19">
        <v>46278</v>
      </c>
      <c r="B139" s="14" t="str">
        <f t="shared" si="16"/>
        <v>Sun</v>
      </c>
      <c r="C139" s="14"/>
      <c r="D139" s="14"/>
      <c r="E139" s="14"/>
      <c r="F139" s="14"/>
      <c r="G139" s="14"/>
      <c r="H139" s="14"/>
      <c r="I139" s="14"/>
      <c r="J139" s="14">
        <f t="shared" si="17"/>
        <v>0</v>
      </c>
      <c r="K139" s="14">
        <f t="shared" si="18"/>
        <v>0</v>
      </c>
      <c r="L139" s="14">
        <f t="shared" si="19"/>
        <v>0</v>
      </c>
      <c r="M139" s="13"/>
    </row>
    <row r="140" spans="1:13" ht="15" customHeight="1" x14ac:dyDescent="0.45">
      <c r="A140" s="19">
        <v>46279</v>
      </c>
      <c r="B140" s="14" t="str">
        <f t="shared" si="16"/>
        <v>Mon</v>
      </c>
      <c r="C140" s="14"/>
      <c r="D140" s="14"/>
      <c r="E140" s="14"/>
      <c r="F140" s="14"/>
      <c r="G140" s="14"/>
      <c r="H140" s="14"/>
      <c r="I140" s="14"/>
      <c r="J140" s="14">
        <f t="shared" si="17"/>
        <v>0</v>
      </c>
      <c r="K140" s="14">
        <f t="shared" si="18"/>
        <v>6</v>
      </c>
      <c r="L140" s="14">
        <f t="shared" si="19"/>
        <v>-6</v>
      </c>
      <c r="M140" s="13"/>
    </row>
    <row r="141" spans="1:13" ht="15" customHeight="1" x14ac:dyDescent="0.45">
      <c r="A141" s="19">
        <v>46280</v>
      </c>
      <c r="B141" s="14" t="str">
        <f t="shared" si="16"/>
        <v>Tue</v>
      </c>
      <c r="C141" s="14"/>
      <c r="D141" s="14"/>
      <c r="E141" s="14"/>
      <c r="F141" s="14"/>
      <c r="G141" s="14"/>
      <c r="H141" s="14"/>
      <c r="I141" s="14"/>
      <c r="J141" s="14">
        <f t="shared" si="17"/>
        <v>0</v>
      </c>
      <c r="K141" s="14">
        <f t="shared" si="18"/>
        <v>6</v>
      </c>
      <c r="L141" s="14">
        <f t="shared" si="19"/>
        <v>-6</v>
      </c>
      <c r="M141" s="13"/>
    </row>
    <row r="142" spans="1:13" ht="15" customHeight="1" x14ac:dyDescent="0.45">
      <c r="A142" s="19">
        <v>46281</v>
      </c>
      <c r="B142" s="14" t="str">
        <f t="shared" si="16"/>
        <v>Wed</v>
      </c>
      <c r="C142" s="14"/>
      <c r="D142" s="14"/>
      <c r="E142" s="14"/>
      <c r="F142" s="14"/>
      <c r="G142" s="14"/>
      <c r="H142" s="14"/>
      <c r="I142" s="14"/>
      <c r="J142" s="14">
        <f t="shared" si="17"/>
        <v>0</v>
      </c>
      <c r="K142" s="14">
        <f t="shared" si="18"/>
        <v>6</v>
      </c>
      <c r="L142" s="14">
        <f t="shared" si="19"/>
        <v>-6</v>
      </c>
      <c r="M142" s="13"/>
    </row>
    <row r="143" spans="1:13" ht="15" customHeight="1" x14ac:dyDescent="0.45">
      <c r="A143" s="19">
        <v>46282</v>
      </c>
      <c r="B143" s="14" t="str">
        <f t="shared" si="16"/>
        <v>Thu</v>
      </c>
      <c r="C143" s="14"/>
      <c r="D143" s="14"/>
      <c r="E143" s="14"/>
      <c r="F143" s="14"/>
      <c r="G143" s="14"/>
      <c r="H143" s="14"/>
      <c r="I143" s="14"/>
      <c r="J143" s="14">
        <f t="shared" si="17"/>
        <v>0</v>
      </c>
      <c r="K143" s="14">
        <f t="shared" si="18"/>
        <v>6</v>
      </c>
      <c r="L143" s="14">
        <f t="shared" si="19"/>
        <v>-6</v>
      </c>
      <c r="M143" s="13"/>
    </row>
    <row r="144" spans="1:13" ht="15" customHeight="1" x14ac:dyDescent="0.45">
      <c r="A144" s="19">
        <v>46283</v>
      </c>
      <c r="B144" s="14" t="str">
        <f t="shared" si="16"/>
        <v>Fri</v>
      </c>
      <c r="C144" s="14"/>
      <c r="D144" s="14"/>
      <c r="E144" s="14"/>
      <c r="F144" s="14"/>
      <c r="G144" s="14"/>
      <c r="H144" s="14"/>
      <c r="I144" s="14"/>
      <c r="J144" s="14">
        <f t="shared" si="17"/>
        <v>0</v>
      </c>
      <c r="K144" s="14">
        <f t="shared" si="18"/>
        <v>6</v>
      </c>
      <c r="L144" s="14">
        <f t="shared" si="19"/>
        <v>-6</v>
      </c>
      <c r="M144" s="13"/>
    </row>
    <row r="145" spans="1:13" ht="15" customHeight="1" x14ac:dyDescent="0.45">
      <c r="A145" s="19">
        <v>46284</v>
      </c>
      <c r="B145" s="14" t="str">
        <f t="shared" si="16"/>
        <v>Sat</v>
      </c>
      <c r="C145" s="14"/>
      <c r="D145" s="14"/>
      <c r="E145" s="14"/>
      <c r="F145" s="14"/>
      <c r="G145" s="14"/>
      <c r="H145" s="14"/>
      <c r="I145" s="14"/>
      <c r="J145" s="14">
        <f t="shared" si="17"/>
        <v>0</v>
      </c>
      <c r="K145" s="14">
        <f t="shared" si="18"/>
        <v>6</v>
      </c>
      <c r="L145" s="14">
        <f t="shared" si="19"/>
        <v>-6</v>
      </c>
      <c r="M145" s="13"/>
    </row>
    <row r="146" spans="1:13" ht="15" customHeight="1" x14ac:dyDescent="0.45">
      <c r="A146" s="19">
        <v>46285</v>
      </c>
      <c r="B146" s="14" t="str">
        <f t="shared" si="16"/>
        <v>Sun</v>
      </c>
      <c r="C146" s="14"/>
      <c r="D146" s="14"/>
      <c r="E146" s="14"/>
      <c r="F146" s="14"/>
      <c r="G146" s="14"/>
      <c r="H146" s="14"/>
      <c r="I146" s="14"/>
      <c r="J146" s="14">
        <f t="shared" si="17"/>
        <v>0</v>
      </c>
      <c r="K146" s="14">
        <f t="shared" si="18"/>
        <v>0</v>
      </c>
      <c r="L146" s="14">
        <f t="shared" si="19"/>
        <v>0</v>
      </c>
      <c r="M146" s="13"/>
    </row>
    <row r="147" spans="1:13" ht="15" customHeight="1" x14ac:dyDescent="0.45">
      <c r="A147" s="19">
        <v>46286</v>
      </c>
      <c r="B147" s="14" t="str">
        <f t="shared" si="16"/>
        <v>Mon</v>
      </c>
      <c r="C147" s="14"/>
      <c r="D147" s="14"/>
      <c r="E147" s="14"/>
      <c r="F147" s="14"/>
      <c r="G147" s="14"/>
      <c r="H147" s="14"/>
      <c r="I147" s="14"/>
      <c r="J147" s="14">
        <f t="shared" si="17"/>
        <v>0</v>
      </c>
      <c r="K147" s="14">
        <f t="shared" si="18"/>
        <v>6</v>
      </c>
      <c r="L147" s="14">
        <f t="shared" si="19"/>
        <v>-6</v>
      </c>
      <c r="M147" s="13"/>
    </row>
    <row r="148" spans="1:13" ht="15" customHeight="1" x14ac:dyDescent="0.45">
      <c r="A148" s="19">
        <v>46287</v>
      </c>
      <c r="B148" s="14" t="str">
        <f t="shared" si="16"/>
        <v>Tue</v>
      </c>
      <c r="C148" s="14"/>
      <c r="D148" s="14"/>
      <c r="E148" s="14"/>
      <c r="F148" s="14"/>
      <c r="G148" s="14"/>
      <c r="H148" s="14"/>
      <c r="I148" s="14"/>
      <c r="J148" s="14">
        <f t="shared" si="17"/>
        <v>0</v>
      </c>
      <c r="K148" s="14">
        <f t="shared" si="18"/>
        <v>6</v>
      </c>
      <c r="L148" s="14">
        <f t="shared" si="19"/>
        <v>-6</v>
      </c>
      <c r="M148" s="13"/>
    </row>
    <row r="149" spans="1:13" ht="15" customHeight="1" x14ac:dyDescent="0.45">
      <c r="A149" s="19">
        <v>46288</v>
      </c>
      <c r="B149" s="14" t="str">
        <f t="shared" si="16"/>
        <v>Wed</v>
      </c>
      <c r="C149" s="14"/>
      <c r="D149" s="14"/>
      <c r="E149" s="14"/>
      <c r="F149" s="14"/>
      <c r="G149" s="14"/>
      <c r="H149" s="14"/>
      <c r="I149" s="14"/>
      <c r="J149" s="14">
        <f t="shared" si="17"/>
        <v>0</v>
      </c>
      <c r="K149" s="14">
        <f t="shared" si="18"/>
        <v>6</v>
      </c>
      <c r="L149" s="14">
        <f t="shared" si="19"/>
        <v>-6</v>
      </c>
      <c r="M149" s="13"/>
    </row>
    <row r="150" spans="1:13" ht="15" customHeight="1" x14ac:dyDescent="0.45">
      <c r="A150" s="19">
        <v>46289</v>
      </c>
      <c r="B150" s="14" t="str">
        <f t="shared" si="16"/>
        <v>Thu</v>
      </c>
      <c r="C150" s="14"/>
      <c r="D150" s="14"/>
      <c r="E150" s="14"/>
      <c r="F150" s="14"/>
      <c r="G150" s="14"/>
      <c r="H150" s="14"/>
      <c r="I150" s="14"/>
      <c r="J150" s="14">
        <f t="shared" si="17"/>
        <v>0</v>
      </c>
      <c r="K150" s="14">
        <f t="shared" si="18"/>
        <v>6</v>
      </c>
      <c r="L150" s="14">
        <f t="shared" si="19"/>
        <v>-6</v>
      </c>
      <c r="M150" s="13"/>
    </row>
    <row r="151" spans="1:13" ht="15" customHeight="1" x14ac:dyDescent="0.45">
      <c r="A151" s="19">
        <v>46290</v>
      </c>
      <c r="B151" s="14" t="str">
        <f t="shared" si="16"/>
        <v>Fri</v>
      </c>
      <c r="C151" s="14"/>
      <c r="D151" s="14"/>
      <c r="E151" s="14"/>
      <c r="F151" s="14"/>
      <c r="G151" s="14"/>
      <c r="H151" s="14"/>
      <c r="I151" s="14"/>
      <c r="J151" s="14">
        <f t="shared" si="17"/>
        <v>0</v>
      </c>
      <c r="K151" s="14">
        <f t="shared" si="18"/>
        <v>6</v>
      </c>
      <c r="L151" s="14">
        <f t="shared" si="19"/>
        <v>-6</v>
      </c>
      <c r="M151" s="13"/>
    </row>
    <row r="152" spans="1:13" ht="15" customHeight="1" x14ac:dyDescent="0.45">
      <c r="A152" s="19">
        <v>46291</v>
      </c>
      <c r="B152" s="14" t="str">
        <f t="shared" si="16"/>
        <v>Sat</v>
      </c>
      <c r="C152" s="14"/>
      <c r="D152" s="14"/>
      <c r="E152" s="14"/>
      <c r="F152" s="14"/>
      <c r="G152" s="14"/>
      <c r="H152" s="14"/>
      <c r="I152" s="14"/>
      <c r="J152" s="14">
        <f t="shared" si="17"/>
        <v>0</v>
      </c>
      <c r="K152" s="14">
        <f t="shared" si="18"/>
        <v>6</v>
      </c>
      <c r="L152" s="14">
        <f t="shared" si="19"/>
        <v>-6</v>
      </c>
      <c r="M152" s="13"/>
    </row>
    <row r="153" spans="1:13" ht="15" customHeight="1" x14ac:dyDescent="0.45">
      <c r="A153" s="19">
        <v>46292</v>
      </c>
      <c r="B153" s="14" t="str">
        <f t="shared" si="16"/>
        <v>Sun</v>
      </c>
      <c r="C153" s="14"/>
      <c r="D153" s="14"/>
      <c r="E153" s="14"/>
      <c r="F153" s="14"/>
      <c r="G153" s="14"/>
      <c r="H153" s="14"/>
      <c r="I153" s="14"/>
      <c r="J153" s="14">
        <f t="shared" si="17"/>
        <v>0</v>
      </c>
      <c r="K153" s="14">
        <f t="shared" si="18"/>
        <v>0</v>
      </c>
      <c r="L153" s="14">
        <f t="shared" si="19"/>
        <v>0</v>
      </c>
      <c r="M153" s="13"/>
    </row>
    <row r="154" spans="1:13" ht="15" customHeight="1" x14ac:dyDescent="0.45">
      <c r="A154" s="19">
        <v>46293</v>
      </c>
      <c r="B154" s="14" t="str">
        <f t="shared" si="16"/>
        <v>Mon</v>
      </c>
      <c r="C154" s="14"/>
      <c r="D154" s="14"/>
      <c r="E154" s="14"/>
      <c r="F154" s="14"/>
      <c r="G154" s="14"/>
      <c r="H154" s="14"/>
      <c r="I154" s="14"/>
      <c r="J154" s="14">
        <f t="shared" si="17"/>
        <v>0</v>
      </c>
      <c r="K154" s="14">
        <f t="shared" si="18"/>
        <v>6</v>
      </c>
      <c r="L154" s="14">
        <f t="shared" si="19"/>
        <v>-6</v>
      </c>
      <c r="M154" s="13"/>
    </row>
    <row r="155" spans="1:13" ht="15" customHeight="1" x14ac:dyDescent="0.45">
      <c r="A155" s="19">
        <v>46294</v>
      </c>
      <c r="B155" s="14" t="str">
        <f t="shared" si="16"/>
        <v>Tue</v>
      </c>
      <c r="C155" s="14"/>
      <c r="D155" s="14"/>
      <c r="E155" s="14"/>
      <c r="F155" s="14"/>
      <c r="G155" s="14"/>
      <c r="H155" s="14"/>
      <c r="I155" s="14"/>
      <c r="J155" s="14">
        <f t="shared" si="17"/>
        <v>0</v>
      </c>
      <c r="K155" s="14">
        <f t="shared" si="18"/>
        <v>6</v>
      </c>
      <c r="L155" s="14">
        <f t="shared" si="19"/>
        <v>-6</v>
      </c>
      <c r="M155" s="13"/>
    </row>
    <row r="156" spans="1:13" ht="15" customHeight="1" x14ac:dyDescent="0.45">
      <c r="A156" s="19">
        <v>46295</v>
      </c>
      <c r="B156" s="14" t="str">
        <f t="shared" si="16"/>
        <v>Wed</v>
      </c>
      <c r="C156" s="14"/>
      <c r="D156" s="14"/>
      <c r="E156" s="14"/>
      <c r="F156" s="14"/>
      <c r="G156" s="14"/>
      <c r="H156" s="14"/>
      <c r="I156" s="14"/>
      <c r="J156" s="14">
        <f t="shared" si="17"/>
        <v>0</v>
      </c>
      <c r="K156" s="14">
        <f t="shared" si="18"/>
        <v>6</v>
      </c>
      <c r="L156" s="14">
        <f t="shared" si="19"/>
        <v>-6</v>
      </c>
      <c r="M156" s="13"/>
    </row>
    <row r="157" spans="1:13" ht="15" customHeight="1" x14ac:dyDescent="0.45">
      <c r="A157" s="19">
        <v>46296</v>
      </c>
      <c r="B157" s="14" t="str">
        <f t="shared" si="16"/>
        <v>Thu</v>
      </c>
      <c r="C157" s="14"/>
      <c r="D157" s="14"/>
      <c r="E157" s="14"/>
      <c r="F157" s="14"/>
      <c r="G157" s="14"/>
      <c r="H157" s="14"/>
      <c r="I157" s="14"/>
      <c r="J157" s="14">
        <f t="shared" si="17"/>
        <v>0</v>
      </c>
      <c r="K157" s="14">
        <f t="shared" si="18"/>
        <v>6</v>
      </c>
      <c r="L157" s="14">
        <f t="shared" si="19"/>
        <v>-6</v>
      </c>
      <c r="M157" s="13"/>
    </row>
    <row r="158" spans="1:13" ht="15" customHeight="1" x14ac:dyDescent="0.45">
      <c r="A158" s="19">
        <v>46297</v>
      </c>
      <c r="B158" s="14" t="str">
        <f t="shared" si="16"/>
        <v>Fri</v>
      </c>
      <c r="C158" s="14"/>
      <c r="D158" s="14"/>
      <c r="E158" s="14"/>
      <c r="F158" s="14"/>
      <c r="G158" s="14"/>
      <c r="H158" s="14"/>
      <c r="I158" s="14"/>
      <c r="J158" s="14">
        <f t="shared" si="17"/>
        <v>0</v>
      </c>
      <c r="K158" s="14">
        <f t="shared" si="18"/>
        <v>6</v>
      </c>
      <c r="L158" s="14">
        <f t="shared" si="19"/>
        <v>-6</v>
      </c>
      <c r="M158" s="13"/>
    </row>
    <row r="159" spans="1:13" ht="15" customHeight="1" x14ac:dyDescent="0.45">
      <c r="A159" s="19">
        <v>46298</v>
      </c>
      <c r="B159" s="14" t="str">
        <f t="shared" si="16"/>
        <v>Sat</v>
      </c>
      <c r="C159" s="14"/>
      <c r="D159" s="14"/>
      <c r="E159" s="14"/>
      <c r="F159" s="14"/>
      <c r="G159" s="14"/>
      <c r="H159" s="14"/>
      <c r="I159" s="14"/>
      <c r="J159" s="14">
        <f t="shared" si="17"/>
        <v>0</v>
      </c>
      <c r="K159" s="14">
        <f t="shared" si="18"/>
        <v>6</v>
      </c>
      <c r="L159" s="14">
        <f t="shared" si="19"/>
        <v>-6</v>
      </c>
      <c r="M159" s="13"/>
    </row>
    <row r="160" spans="1:13" ht="15" customHeight="1" x14ac:dyDescent="0.45">
      <c r="A160" s="19">
        <v>46299</v>
      </c>
      <c r="B160" s="14" t="str">
        <f t="shared" si="16"/>
        <v>Sun</v>
      </c>
      <c r="C160" s="14"/>
      <c r="D160" s="14"/>
      <c r="E160" s="14"/>
      <c r="F160" s="14"/>
      <c r="G160" s="14"/>
      <c r="H160" s="14"/>
      <c r="I160" s="14"/>
      <c r="J160" s="14">
        <f t="shared" si="17"/>
        <v>0</v>
      </c>
      <c r="K160" s="14">
        <f t="shared" si="18"/>
        <v>0</v>
      </c>
      <c r="L160" s="14">
        <f t="shared" si="19"/>
        <v>0</v>
      </c>
      <c r="M160" s="13"/>
    </row>
    <row r="161" spans="1:13" ht="15" customHeight="1" x14ac:dyDescent="0.45">
      <c r="A161" s="19">
        <v>46300</v>
      </c>
      <c r="B161" s="14" t="str">
        <f t="shared" si="16"/>
        <v>Mon</v>
      </c>
      <c r="C161" s="14"/>
      <c r="D161" s="14"/>
      <c r="E161" s="14"/>
      <c r="F161" s="14"/>
      <c r="G161" s="14"/>
      <c r="H161" s="14"/>
      <c r="I161" s="14"/>
      <c r="J161" s="14">
        <f t="shared" si="17"/>
        <v>0</v>
      </c>
      <c r="K161" s="14">
        <f t="shared" si="18"/>
        <v>6</v>
      </c>
      <c r="L161" s="14">
        <f t="shared" si="19"/>
        <v>-6</v>
      </c>
      <c r="M161" s="13"/>
    </row>
    <row r="162" spans="1:13" ht="15" customHeight="1" x14ac:dyDescent="0.45">
      <c r="A162" s="19">
        <v>46301</v>
      </c>
      <c r="B162" s="14" t="str">
        <f t="shared" ref="B162:B193" si="20">TEXT(A162,"ddd")</f>
        <v>Tue</v>
      </c>
      <c r="C162" s="14"/>
      <c r="D162" s="14"/>
      <c r="E162" s="14"/>
      <c r="F162" s="14"/>
      <c r="G162" s="14"/>
      <c r="H162" s="14"/>
      <c r="I162" s="14"/>
      <c r="J162" s="14">
        <f t="shared" ref="J162:J193" si="21">SUM(C162:I162)</f>
        <v>0</v>
      </c>
      <c r="K162" s="14">
        <f t="shared" ref="K162:K193" si="22">IF(WEEKDAY(A162,2)=7,0,6)</f>
        <v>6</v>
      </c>
      <c r="L162" s="14">
        <f t="shared" ref="L162:L193" si="23">J162-K162</f>
        <v>-6</v>
      </c>
      <c r="M162" s="13"/>
    </row>
    <row r="163" spans="1:13" ht="15" customHeight="1" x14ac:dyDescent="0.45">
      <c r="A163" s="19">
        <v>46302</v>
      </c>
      <c r="B163" s="14" t="str">
        <f t="shared" si="20"/>
        <v>Wed</v>
      </c>
      <c r="C163" s="14"/>
      <c r="D163" s="14"/>
      <c r="E163" s="14"/>
      <c r="F163" s="14"/>
      <c r="G163" s="14"/>
      <c r="H163" s="14"/>
      <c r="I163" s="14"/>
      <c r="J163" s="14">
        <f t="shared" si="21"/>
        <v>0</v>
      </c>
      <c r="K163" s="14">
        <f t="shared" si="22"/>
        <v>6</v>
      </c>
      <c r="L163" s="14">
        <f t="shared" si="23"/>
        <v>-6</v>
      </c>
      <c r="M163" s="13"/>
    </row>
    <row r="164" spans="1:13" ht="15" customHeight="1" x14ac:dyDescent="0.45">
      <c r="A164" s="19">
        <v>46303</v>
      </c>
      <c r="B164" s="14" t="str">
        <f t="shared" si="20"/>
        <v>Thu</v>
      </c>
      <c r="C164" s="14"/>
      <c r="D164" s="14"/>
      <c r="E164" s="14"/>
      <c r="F164" s="14"/>
      <c r="G164" s="14"/>
      <c r="H164" s="14"/>
      <c r="I164" s="14"/>
      <c r="J164" s="14">
        <f t="shared" si="21"/>
        <v>0</v>
      </c>
      <c r="K164" s="14">
        <f t="shared" si="22"/>
        <v>6</v>
      </c>
      <c r="L164" s="14">
        <f t="shared" si="23"/>
        <v>-6</v>
      </c>
      <c r="M164" s="13"/>
    </row>
    <row r="165" spans="1:13" ht="15" customHeight="1" x14ac:dyDescent="0.45">
      <c r="A165" s="19">
        <v>46304</v>
      </c>
      <c r="B165" s="14" t="str">
        <f t="shared" si="20"/>
        <v>Fri</v>
      </c>
      <c r="C165" s="14"/>
      <c r="D165" s="14"/>
      <c r="E165" s="14"/>
      <c r="F165" s="14"/>
      <c r="G165" s="14"/>
      <c r="H165" s="14"/>
      <c r="I165" s="14"/>
      <c r="J165" s="14">
        <f t="shared" si="21"/>
        <v>0</v>
      </c>
      <c r="K165" s="14">
        <f t="shared" si="22"/>
        <v>6</v>
      </c>
      <c r="L165" s="14">
        <f t="shared" si="23"/>
        <v>-6</v>
      </c>
      <c r="M165" s="13"/>
    </row>
    <row r="166" spans="1:13" ht="15" customHeight="1" x14ac:dyDescent="0.45">
      <c r="A166" s="19">
        <v>46305</v>
      </c>
      <c r="B166" s="14" t="str">
        <f t="shared" si="20"/>
        <v>Sat</v>
      </c>
      <c r="C166" s="14"/>
      <c r="D166" s="14"/>
      <c r="E166" s="14"/>
      <c r="F166" s="14"/>
      <c r="G166" s="14"/>
      <c r="H166" s="14"/>
      <c r="I166" s="14"/>
      <c r="J166" s="14">
        <f t="shared" si="21"/>
        <v>0</v>
      </c>
      <c r="K166" s="14">
        <f t="shared" si="22"/>
        <v>6</v>
      </c>
      <c r="L166" s="14">
        <f t="shared" si="23"/>
        <v>-6</v>
      </c>
      <c r="M166" s="13"/>
    </row>
    <row r="167" spans="1:13" ht="15" customHeight="1" x14ac:dyDescent="0.45">
      <c r="A167" s="19">
        <v>46306</v>
      </c>
      <c r="B167" s="14" t="str">
        <f t="shared" si="20"/>
        <v>Sun</v>
      </c>
      <c r="C167" s="14"/>
      <c r="D167" s="14"/>
      <c r="E167" s="14"/>
      <c r="F167" s="14"/>
      <c r="G167" s="14"/>
      <c r="H167" s="14"/>
      <c r="I167" s="14"/>
      <c r="J167" s="14">
        <f t="shared" si="21"/>
        <v>0</v>
      </c>
      <c r="K167" s="14">
        <f t="shared" si="22"/>
        <v>0</v>
      </c>
      <c r="L167" s="14">
        <f t="shared" si="23"/>
        <v>0</v>
      </c>
      <c r="M167" s="13"/>
    </row>
    <row r="168" spans="1:13" ht="15" customHeight="1" x14ac:dyDescent="0.45">
      <c r="A168" s="19">
        <v>46307</v>
      </c>
      <c r="B168" s="14" t="str">
        <f t="shared" si="20"/>
        <v>Mon</v>
      </c>
      <c r="C168" s="14"/>
      <c r="D168" s="14"/>
      <c r="E168" s="14"/>
      <c r="F168" s="14"/>
      <c r="G168" s="14"/>
      <c r="H168" s="14"/>
      <c r="I168" s="14"/>
      <c r="J168" s="14">
        <f t="shared" si="21"/>
        <v>0</v>
      </c>
      <c r="K168" s="14">
        <f t="shared" si="22"/>
        <v>6</v>
      </c>
      <c r="L168" s="14">
        <f t="shared" si="23"/>
        <v>-6</v>
      </c>
      <c r="M168" s="13"/>
    </row>
    <row r="169" spans="1:13" ht="15" customHeight="1" x14ac:dyDescent="0.45">
      <c r="A169" s="19">
        <v>46308</v>
      </c>
      <c r="B169" s="14" t="str">
        <f t="shared" si="20"/>
        <v>Tue</v>
      </c>
      <c r="C169" s="14"/>
      <c r="D169" s="14"/>
      <c r="E169" s="14"/>
      <c r="F169" s="14"/>
      <c r="G169" s="14"/>
      <c r="H169" s="14"/>
      <c r="I169" s="14"/>
      <c r="J169" s="14">
        <f t="shared" si="21"/>
        <v>0</v>
      </c>
      <c r="K169" s="14">
        <f t="shared" si="22"/>
        <v>6</v>
      </c>
      <c r="L169" s="14">
        <f t="shared" si="23"/>
        <v>-6</v>
      </c>
      <c r="M169" s="13"/>
    </row>
    <row r="170" spans="1:13" ht="15" customHeight="1" x14ac:dyDescent="0.45">
      <c r="A170" s="19">
        <v>46309</v>
      </c>
      <c r="B170" s="14" t="str">
        <f t="shared" si="20"/>
        <v>Wed</v>
      </c>
      <c r="C170" s="14"/>
      <c r="D170" s="14"/>
      <c r="E170" s="14"/>
      <c r="F170" s="14"/>
      <c r="G170" s="14"/>
      <c r="H170" s="14"/>
      <c r="I170" s="14"/>
      <c r="J170" s="14">
        <f t="shared" si="21"/>
        <v>0</v>
      </c>
      <c r="K170" s="14">
        <f t="shared" si="22"/>
        <v>6</v>
      </c>
      <c r="L170" s="14">
        <f t="shared" si="23"/>
        <v>-6</v>
      </c>
      <c r="M170" s="13"/>
    </row>
    <row r="171" spans="1:13" ht="15" customHeight="1" x14ac:dyDescent="0.45">
      <c r="A171" s="19">
        <v>46310</v>
      </c>
      <c r="B171" s="14" t="str">
        <f t="shared" si="20"/>
        <v>Thu</v>
      </c>
      <c r="C171" s="14"/>
      <c r="D171" s="14"/>
      <c r="E171" s="14"/>
      <c r="F171" s="14"/>
      <c r="G171" s="14"/>
      <c r="H171" s="14"/>
      <c r="I171" s="14"/>
      <c r="J171" s="14">
        <f t="shared" si="21"/>
        <v>0</v>
      </c>
      <c r="K171" s="14">
        <f t="shared" si="22"/>
        <v>6</v>
      </c>
      <c r="L171" s="14">
        <f t="shared" si="23"/>
        <v>-6</v>
      </c>
      <c r="M171" s="13"/>
    </row>
    <row r="172" spans="1:13" ht="15" customHeight="1" x14ac:dyDescent="0.45">
      <c r="A172" s="19">
        <v>46311</v>
      </c>
      <c r="B172" s="14" t="str">
        <f t="shared" si="20"/>
        <v>Fri</v>
      </c>
      <c r="C172" s="14"/>
      <c r="D172" s="14"/>
      <c r="E172" s="14"/>
      <c r="F172" s="14"/>
      <c r="G172" s="14"/>
      <c r="H172" s="14"/>
      <c r="I172" s="14"/>
      <c r="J172" s="14">
        <f t="shared" si="21"/>
        <v>0</v>
      </c>
      <c r="K172" s="14">
        <f t="shared" si="22"/>
        <v>6</v>
      </c>
      <c r="L172" s="14">
        <f t="shared" si="23"/>
        <v>-6</v>
      </c>
      <c r="M172" s="13"/>
    </row>
    <row r="173" spans="1:13" ht="15" customHeight="1" x14ac:dyDescent="0.45">
      <c r="A173" s="19">
        <v>46312</v>
      </c>
      <c r="B173" s="14" t="str">
        <f t="shared" si="20"/>
        <v>Sat</v>
      </c>
      <c r="C173" s="14"/>
      <c r="D173" s="14"/>
      <c r="E173" s="14"/>
      <c r="F173" s="14"/>
      <c r="G173" s="14"/>
      <c r="H173" s="14"/>
      <c r="I173" s="14"/>
      <c r="J173" s="14">
        <f t="shared" si="21"/>
        <v>0</v>
      </c>
      <c r="K173" s="14">
        <f t="shared" si="22"/>
        <v>6</v>
      </c>
      <c r="L173" s="14">
        <f t="shared" si="23"/>
        <v>-6</v>
      </c>
      <c r="M173" s="13"/>
    </row>
    <row r="174" spans="1:13" ht="15" customHeight="1" x14ac:dyDescent="0.45">
      <c r="A174" s="19">
        <v>46313</v>
      </c>
      <c r="B174" s="14" t="str">
        <f t="shared" si="20"/>
        <v>Sun</v>
      </c>
      <c r="C174" s="14"/>
      <c r="D174" s="14"/>
      <c r="E174" s="14"/>
      <c r="F174" s="14"/>
      <c r="G174" s="14"/>
      <c r="H174" s="14"/>
      <c r="I174" s="14"/>
      <c r="J174" s="14">
        <f t="shared" si="21"/>
        <v>0</v>
      </c>
      <c r="K174" s="14">
        <f t="shared" si="22"/>
        <v>0</v>
      </c>
      <c r="L174" s="14">
        <f t="shared" si="23"/>
        <v>0</v>
      </c>
      <c r="M174" s="13"/>
    </row>
    <row r="175" spans="1:13" ht="15" customHeight="1" x14ac:dyDescent="0.45">
      <c r="A175" s="19">
        <v>46314</v>
      </c>
      <c r="B175" s="14" t="str">
        <f t="shared" si="20"/>
        <v>Mon</v>
      </c>
      <c r="C175" s="14"/>
      <c r="D175" s="14"/>
      <c r="E175" s="14"/>
      <c r="F175" s="14"/>
      <c r="G175" s="14"/>
      <c r="H175" s="14"/>
      <c r="I175" s="14"/>
      <c r="J175" s="14">
        <f t="shared" si="21"/>
        <v>0</v>
      </c>
      <c r="K175" s="14">
        <f t="shared" si="22"/>
        <v>6</v>
      </c>
      <c r="L175" s="14">
        <f t="shared" si="23"/>
        <v>-6</v>
      </c>
      <c r="M175" s="13"/>
    </row>
    <row r="176" spans="1:13" ht="15" customHeight="1" x14ac:dyDescent="0.45">
      <c r="A176" s="19">
        <v>46315</v>
      </c>
      <c r="B176" s="14" t="str">
        <f t="shared" si="20"/>
        <v>Tue</v>
      </c>
      <c r="C176" s="14"/>
      <c r="D176" s="14"/>
      <c r="E176" s="14"/>
      <c r="F176" s="14"/>
      <c r="G176" s="14"/>
      <c r="H176" s="14"/>
      <c r="I176" s="14"/>
      <c r="J176" s="14">
        <f t="shared" si="21"/>
        <v>0</v>
      </c>
      <c r="K176" s="14">
        <f t="shared" si="22"/>
        <v>6</v>
      </c>
      <c r="L176" s="14">
        <f t="shared" si="23"/>
        <v>-6</v>
      </c>
      <c r="M176" s="13"/>
    </row>
    <row r="177" spans="1:13" ht="15" customHeight="1" x14ac:dyDescent="0.45">
      <c r="A177" s="19">
        <v>46316</v>
      </c>
      <c r="B177" s="14" t="str">
        <f t="shared" si="20"/>
        <v>Wed</v>
      </c>
      <c r="C177" s="14"/>
      <c r="D177" s="14"/>
      <c r="E177" s="14"/>
      <c r="F177" s="14"/>
      <c r="G177" s="14"/>
      <c r="H177" s="14"/>
      <c r="I177" s="14"/>
      <c r="J177" s="14">
        <f t="shared" si="21"/>
        <v>0</v>
      </c>
      <c r="K177" s="14">
        <f t="shared" si="22"/>
        <v>6</v>
      </c>
      <c r="L177" s="14">
        <f t="shared" si="23"/>
        <v>-6</v>
      </c>
      <c r="M177" s="13"/>
    </row>
    <row r="178" spans="1:13" ht="15" customHeight="1" x14ac:dyDescent="0.45">
      <c r="A178" s="19">
        <v>46317</v>
      </c>
      <c r="B178" s="14" t="str">
        <f t="shared" si="20"/>
        <v>Thu</v>
      </c>
      <c r="C178" s="14"/>
      <c r="D178" s="14"/>
      <c r="E178" s="14"/>
      <c r="F178" s="14"/>
      <c r="G178" s="14"/>
      <c r="H178" s="14"/>
      <c r="I178" s="14"/>
      <c r="J178" s="14">
        <f t="shared" si="21"/>
        <v>0</v>
      </c>
      <c r="K178" s="14">
        <f t="shared" si="22"/>
        <v>6</v>
      </c>
      <c r="L178" s="14">
        <f t="shared" si="23"/>
        <v>-6</v>
      </c>
      <c r="M178" s="13"/>
    </row>
    <row r="179" spans="1:13" ht="15" customHeight="1" x14ac:dyDescent="0.45">
      <c r="A179" s="19">
        <v>46318</v>
      </c>
      <c r="B179" s="14" t="str">
        <f t="shared" si="20"/>
        <v>Fri</v>
      </c>
      <c r="C179" s="14"/>
      <c r="D179" s="14"/>
      <c r="E179" s="14"/>
      <c r="F179" s="14"/>
      <c r="G179" s="14"/>
      <c r="H179" s="14"/>
      <c r="I179" s="14"/>
      <c r="J179" s="14">
        <f t="shared" si="21"/>
        <v>0</v>
      </c>
      <c r="K179" s="14">
        <f t="shared" si="22"/>
        <v>6</v>
      </c>
      <c r="L179" s="14">
        <f t="shared" si="23"/>
        <v>-6</v>
      </c>
      <c r="M179" s="13"/>
    </row>
    <row r="180" spans="1:13" ht="15" customHeight="1" x14ac:dyDescent="0.45">
      <c r="A180" s="19">
        <v>46319</v>
      </c>
      <c r="B180" s="14" t="str">
        <f t="shared" si="20"/>
        <v>Sat</v>
      </c>
      <c r="C180" s="14"/>
      <c r="D180" s="14"/>
      <c r="E180" s="14"/>
      <c r="F180" s="14"/>
      <c r="G180" s="14"/>
      <c r="H180" s="14"/>
      <c r="I180" s="14"/>
      <c r="J180" s="14">
        <f t="shared" si="21"/>
        <v>0</v>
      </c>
      <c r="K180" s="14">
        <f t="shared" si="22"/>
        <v>6</v>
      </c>
      <c r="L180" s="14">
        <f t="shared" si="23"/>
        <v>-6</v>
      </c>
      <c r="M180" s="13"/>
    </row>
    <row r="181" spans="1:13" ht="15" customHeight="1" x14ac:dyDescent="0.45">
      <c r="A181" s="19">
        <v>46320</v>
      </c>
      <c r="B181" s="14" t="str">
        <f t="shared" si="20"/>
        <v>Sun</v>
      </c>
      <c r="C181" s="14"/>
      <c r="D181" s="14"/>
      <c r="E181" s="14"/>
      <c r="F181" s="14"/>
      <c r="G181" s="14"/>
      <c r="H181" s="14"/>
      <c r="I181" s="14"/>
      <c r="J181" s="14">
        <f t="shared" si="21"/>
        <v>0</v>
      </c>
      <c r="K181" s="14">
        <f t="shared" si="22"/>
        <v>0</v>
      </c>
      <c r="L181" s="14">
        <f t="shared" si="23"/>
        <v>0</v>
      </c>
      <c r="M181" s="13"/>
    </row>
    <row r="182" spans="1:13" ht="15" customHeight="1" x14ac:dyDescent="0.45">
      <c r="A182" s="19">
        <v>46321</v>
      </c>
      <c r="B182" s="14" t="str">
        <f t="shared" si="20"/>
        <v>Mon</v>
      </c>
      <c r="C182" s="14"/>
      <c r="D182" s="14"/>
      <c r="E182" s="14"/>
      <c r="F182" s="14"/>
      <c r="G182" s="14"/>
      <c r="H182" s="14"/>
      <c r="I182" s="14"/>
      <c r="J182" s="14">
        <f t="shared" si="21"/>
        <v>0</v>
      </c>
      <c r="K182" s="14">
        <f t="shared" si="22"/>
        <v>6</v>
      </c>
      <c r="L182" s="14">
        <f t="shared" si="23"/>
        <v>-6</v>
      </c>
      <c r="M182" s="13"/>
    </row>
    <row r="183" spans="1:13" ht="15" customHeight="1" x14ac:dyDescent="0.45">
      <c r="A183" s="19">
        <v>46322</v>
      </c>
      <c r="B183" s="14" t="str">
        <f t="shared" si="20"/>
        <v>Tue</v>
      </c>
      <c r="C183" s="14"/>
      <c r="D183" s="14"/>
      <c r="E183" s="14"/>
      <c r="F183" s="14"/>
      <c r="G183" s="14"/>
      <c r="H183" s="14"/>
      <c r="I183" s="14"/>
      <c r="J183" s="14">
        <f t="shared" si="21"/>
        <v>0</v>
      </c>
      <c r="K183" s="14">
        <f t="shared" si="22"/>
        <v>6</v>
      </c>
      <c r="L183" s="14">
        <f t="shared" si="23"/>
        <v>-6</v>
      </c>
      <c r="M183" s="13"/>
    </row>
    <row r="184" spans="1:13" ht="15" customHeight="1" x14ac:dyDescent="0.45">
      <c r="A184" s="19">
        <v>46323</v>
      </c>
      <c r="B184" s="14" t="str">
        <f t="shared" si="20"/>
        <v>Wed</v>
      </c>
      <c r="C184" s="14"/>
      <c r="D184" s="14"/>
      <c r="E184" s="14"/>
      <c r="F184" s="14"/>
      <c r="G184" s="14"/>
      <c r="H184" s="14"/>
      <c r="I184" s="14"/>
      <c r="J184" s="14">
        <f t="shared" si="21"/>
        <v>0</v>
      </c>
      <c r="K184" s="14">
        <f t="shared" si="22"/>
        <v>6</v>
      </c>
      <c r="L184" s="14">
        <f t="shared" si="23"/>
        <v>-6</v>
      </c>
      <c r="M184" s="13"/>
    </row>
    <row r="185" spans="1:13" ht="15" customHeight="1" x14ac:dyDescent="0.45">
      <c r="A185" s="19">
        <v>46324</v>
      </c>
      <c r="B185" s="14" t="str">
        <f t="shared" si="20"/>
        <v>Thu</v>
      </c>
      <c r="C185" s="14"/>
      <c r="D185" s="14"/>
      <c r="E185" s="14"/>
      <c r="F185" s="14"/>
      <c r="G185" s="14"/>
      <c r="H185" s="14"/>
      <c r="I185" s="14"/>
      <c r="J185" s="14">
        <f t="shared" si="21"/>
        <v>0</v>
      </c>
      <c r="K185" s="14">
        <f t="shared" si="22"/>
        <v>6</v>
      </c>
      <c r="L185" s="14">
        <f t="shared" si="23"/>
        <v>-6</v>
      </c>
      <c r="M185" s="13"/>
    </row>
    <row r="186" spans="1:13" ht="15" customHeight="1" x14ac:dyDescent="0.45">
      <c r="A186" s="19">
        <v>46325</v>
      </c>
      <c r="B186" s="14" t="str">
        <f t="shared" si="20"/>
        <v>Fri</v>
      </c>
      <c r="C186" s="14"/>
      <c r="D186" s="14"/>
      <c r="E186" s="14"/>
      <c r="F186" s="14"/>
      <c r="G186" s="14"/>
      <c r="H186" s="14"/>
      <c r="I186" s="14"/>
      <c r="J186" s="14">
        <f t="shared" si="21"/>
        <v>0</v>
      </c>
      <c r="K186" s="14">
        <f t="shared" si="22"/>
        <v>6</v>
      </c>
      <c r="L186" s="14">
        <f t="shared" si="23"/>
        <v>-6</v>
      </c>
      <c r="M186" s="13"/>
    </row>
    <row r="187" spans="1:13" ht="15" customHeight="1" x14ac:dyDescent="0.45">
      <c r="A187" s="19">
        <v>46326</v>
      </c>
      <c r="B187" s="14" t="str">
        <f t="shared" si="20"/>
        <v>Sat</v>
      </c>
      <c r="C187" s="14"/>
      <c r="D187" s="14"/>
      <c r="E187" s="14"/>
      <c r="F187" s="14"/>
      <c r="G187" s="14"/>
      <c r="H187" s="14"/>
      <c r="I187" s="14"/>
      <c r="J187" s="14">
        <f t="shared" si="21"/>
        <v>0</v>
      </c>
      <c r="K187" s="14">
        <f t="shared" si="22"/>
        <v>6</v>
      </c>
      <c r="L187" s="14">
        <f t="shared" si="23"/>
        <v>-6</v>
      </c>
      <c r="M187" s="13"/>
    </row>
    <row r="188" spans="1:13" ht="15" customHeight="1" x14ac:dyDescent="0.45">
      <c r="A188" s="19">
        <v>46327</v>
      </c>
      <c r="B188" s="14" t="str">
        <f t="shared" si="20"/>
        <v>Sun</v>
      </c>
      <c r="C188" s="14"/>
      <c r="D188" s="14"/>
      <c r="E188" s="14"/>
      <c r="F188" s="14"/>
      <c r="G188" s="14"/>
      <c r="H188" s="14"/>
      <c r="I188" s="14"/>
      <c r="J188" s="14">
        <f t="shared" si="21"/>
        <v>0</v>
      </c>
      <c r="K188" s="14">
        <f t="shared" si="22"/>
        <v>0</v>
      </c>
      <c r="L188" s="14">
        <f t="shared" si="23"/>
        <v>0</v>
      </c>
      <c r="M188" s="13"/>
    </row>
    <row r="189" spans="1:13" ht="15" customHeight="1" x14ac:dyDescent="0.45">
      <c r="A189" s="19">
        <v>46328</v>
      </c>
      <c r="B189" s="14" t="str">
        <f t="shared" si="20"/>
        <v>Mon</v>
      </c>
      <c r="C189" s="14"/>
      <c r="D189" s="14"/>
      <c r="E189" s="14"/>
      <c r="F189" s="14"/>
      <c r="G189" s="14"/>
      <c r="H189" s="14"/>
      <c r="I189" s="14"/>
      <c r="J189" s="14">
        <f t="shared" si="21"/>
        <v>0</v>
      </c>
      <c r="K189" s="14">
        <f t="shared" si="22"/>
        <v>6</v>
      </c>
      <c r="L189" s="14">
        <f t="shared" si="23"/>
        <v>-6</v>
      </c>
      <c r="M189" s="13"/>
    </row>
    <row r="190" spans="1:13" ht="15" customHeight="1" x14ac:dyDescent="0.45">
      <c r="A190" s="19">
        <v>46329</v>
      </c>
      <c r="B190" s="14" t="str">
        <f t="shared" si="20"/>
        <v>Tue</v>
      </c>
      <c r="C190" s="14"/>
      <c r="D190" s="14"/>
      <c r="E190" s="14"/>
      <c r="F190" s="14"/>
      <c r="G190" s="14"/>
      <c r="H190" s="14"/>
      <c r="I190" s="14"/>
      <c r="J190" s="14">
        <f t="shared" si="21"/>
        <v>0</v>
      </c>
      <c r="K190" s="14">
        <f t="shared" si="22"/>
        <v>6</v>
      </c>
      <c r="L190" s="14">
        <f t="shared" si="23"/>
        <v>-6</v>
      </c>
      <c r="M190" s="13"/>
    </row>
    <row r="191" spans="1:13" ht="15" customHeight="1" x14ac:dyDescent="0.45">
      <c r="A191" s="19">
        <v>46330</v>
      </c>
      <c r="B191" s="14" t="str">
        <f t="shared" si="20"/>
        <v>Wed</v>
      </c>
      <c r="C191" s="14"/>
      <c r="D191" s="14"/>
      <c r="E191" s="14"/>
      <c r="F191" s="14"/>
      <c r="G191" s="14"/>
      <c r="H191" s="14"/>
      <c r="I191" s="14"/>
      <c r="J191" s="14">
        <f t="shared" si="21"/>
        <v>0</v>
      </c>
      <c r="K191" s="14">
        <f t="shared" si="22"/>
        <v>6</v>
      </c>
      <c r="L191" s="14">
        <f t="shared" si="23"/>
        <v>-6</v>
      </c>
      <c r="M191" s="13"/>
    </row>
    <row r="192" spans="1:13" ht="15" customHeight="1" x14ac:dyDescent="0.45">
      <c r="A192" s="19">
        <v>46331</v>
      </c>
      <c r="B192" s="14" t="str">
        <f t="shared" si="20"/>
        <v>Thu</v>
      </c>
      <c r="C192" s="14"/>
      <c r="D192" s="14"/>
      <c r="E192" s="14"/>
      <c r="F192" s="14"/>
      <c r="G192" s="14"/>
      <c r="H192" s="14"/>
      <c r="I192" s="14"/>
      <c r="J192" s="14">
        <f t="shared" si="21"/>
        <v>0</v>
      </c>
      <c r="K192" s="14">
        <f t="shared" si="22"/>
        <v>6</v>
      </c>
      <c r="L192" s="14">
        <f t="shared" si="23"/>
        <v>-6</v>
      </c>
      <c r="M192" s="13"/>
    </row>
    <row r="193" spans="1:13" ht="15" customHeight="1" x14ac:dyDescent="0.45">
      <c r="A193" s="19">
        <v>46332</v>
      </c>
      <c r="B193" s="14" t="str">
        <f t="shared" si="20"/>
        <v>Fri</v>
      </c>
      <c r="C193" s="14"/>
      <c r="D193" s="14"/>
      <c r="E193" s="14"/>
      <c r="F193" s="14"/>
      <c r="G193" s="14"/>
      <c r="H193" s="14"/>
      <c r="I193" s="14"/>
      <c r="J193" s="14">
        <f t="shared" si="21"/>
        <v>0</v>
      </c>
      <c r="K193" s="14">
        <f t="shared" si="22"/>
        <v>6</v>
      </c>
      <c r="L193" s="14">
        <f t="shared" si="23"/>
        <v>-6</v>
      </c>
      <c r="M193" s="13"/>
    </row>
    <row r="194" spans="1:13" ht="15" customHeight="1" x14ac:dyDescent="0.45">
      <c r="A194" s="19">
        <v>46333</v>
      </c>
      <c r="B194" s="14" t="str">
        <f t="shared" ref="B194:B225" si="24">TEXT(A194,"ddd")</f>
        <v>Sat</v>
      </c>
      <c r="C194" s="14"/>
      <c r="D194" s="14"/>
      <c r="E194" s="14"/>
      <c r="F194" s="14"/>
      <c r="G194" s="14"/>
      <c r="H194" s="14"/>
      <c r="I194" s="14"/>
      <c r="J194" s="14">
        <f t="shared" ref="J194:J225" si="25">SUM(C194:I194)</f>
        <v>0</v>
      </c>
      <c r="K194" s="14">
        <f t="shared" ref="K194:K201" si="26">IF(WEEKDAY(A194,2)=7,0,6)</f>
        <v>6</v>
      </c>
      <c r="L194" s="14">
        <f t="shared" ref="L194:L225" si="27">J194-K194</f>
        <v>-6</v>
      </c>
      <c r="M194" s="13"/>
    </row>
    <row r="195" spans="1:13" ht="15" customHeight="1" x14ac:dyDescent="0.45">
      <c r="A195" s="19">
        <v>46334</v>
      </c>
      <c r="B195" s="14" t="str">
        <f t="shared" si="24"/>
        <v>Sun</v>
      </c>
      <c r="C195" s="14"/>
      <c r="D195" s="14"/>
      <c r="E195" s="14"/>
      <c r="F195" s="14"/>
      <c r="G195" s="14"/>
      <c r="H195" s="14"/>
      <c r="I195" s="14"/>
      <c r="J195" s="14">
        <f t="shared" si="25"/>
        <v>0</v>
      </c>
      <c r="K195" s="14">
        <f t="shared" si="26"/>
        <v>0</v>
      </c>
      <c r="L195" s="14">
        <f t="shared" si="27"/>
        <v>0</v>
      </c>
      <c r="M195" s="13"/>
    </row>
    <row r="196" spans="1:13" ht="15" customHeight="1" x14ac:dyDescent="0.45">
      <c r="A196" s="19">
        <v>46335</v>
      </c>
      <c r="B196" s="14" t="str">
        <f t="shared" si="24"/>
        <v>Mon</v>
      </c>
      <c r="C196" s="14"/>
      <c r="D196" s="14"/>
      <c r="E196" s="14"/>
      <c r="F196" s="14"/>
      <c r="G196" s="14"/>
      <c r="H196" s="14"/>
      <c r="I196" s="14"/>
      <c r="J196" s="14">
        <f t="shared" si="25"/>
        <v>0</v>
      </c>
      <c r="K196" s="14">
        <f t="shared" si="26"/>
        <v>6</v>
      </c>
      <c r="L196" s="14">
        <f t="shared" si="27"/>
        <v>-6</v>
      </c>
      <c r="M196" s="13"/>
    </row>
    <row r="197" spans="1:13" ht="15" customHeight="1" x14ac:dyDescent="0.45">
      <c r="A197" s="19">
        <v>46336</v>
      </c>
      <c r="B197" s="14" t="str">
        <f t="shared" si="24"/>
        <v>Tue</v>
      </c>
      <c r="C197" s="14"/>
      <c r="D197" s="14"/>
      <c r="E197" s="14"/>
      <c r="F197" s="14"/>
      <c r="G197" s="14"/>
      <c r="H197" s="14"/>
      <c r="I197" s="14"/>
      <c r="J197" s="14">
        <f t="shared" si="25"/>
        <v>0</v>
      </c>
      <c r="K197" s="14">
        <f t="shared" si="26"/>
        <v>6</v>
      </c>
      <c r="L197" s="14">
        <f t="shared" si="27"/>
        <v>-6</v>
      </c>
      <c r="M197" s="13"/>
    </row>
    <row r="198" spans="1:13" ht="15" customHeight="1" x14ac:dyDescent="0.45">
      <c r="A198" s="19">
        <v>46337</v>
      </c>
      <c r="B198" s="14" t="str">
        <f t="shared" si="24"/>
        <v>Wed</v>
      </c>
      <c r="C198" s="14"/>
      <c r="D198" s="14"/>
      <c r="E198" s="14"/>
      <c r="F198" s="14"/>
      <c r="G198" s="14"/>
      <c r="H198" s="14"/>
      <c r="I198" s="14"/>
      <c r="J198" s="14">
        <f t="shared" si="25"/>
        <v>0</v>
      </c>
      <c r="K198" s="14">
        <f t="shared" si="26"/>
        <v>6</v>
      </c>
      <c r="L198" s="14">
        <f t="shared" si="27"/>
        <v>-6</v>
      </c>
      <c r="M198" s="13"/>
    </row>
    <row r="199" spans="1:13" ht="15" customHeight="1" x14ac:dyDescent="0.45">
      <c r="A199" s="19">
        <v>46338</v>
      </c>
      <c r="B199" s="14" t="str">
        <f t="shared" si="24"/>
        <v>Thu</v>
      </c>
      <c r="C199" s="14"/>
      <c r="D199" s="14"/>
      <c r="E199" s="14"/>
      <c r="F199" s="14"/>
      <c r="G199" s="14"/>
      <c r="H199" s="14"/>
      <c r="I199" s="14"/>
      <c r="J199" s="14">
        <f t="shared" si="25"/>
        <v>0</v>
      </c>
      <c r="K199" s="14">
        <f t="shared" si="26"/>
        <v>6</v>
      </c>
      <c r="L199" s="14">
        <f t="shared" si="27"/>
        <v>-6</v>
      </c>
      <c r="M199" s="13"/>
    </row>
    <row r="200" spans="1:13" ht="15" customHeight="1" x14ac:dyDescent="0.45">
      <c r="A200" s="19">
        <v>46339</v>
      </c>
      <c r="B200" s="14" t="str">
        <f t="shared" si="24"/>
        <v>Fri</v>
      </c>
      <c r="C200" s="14"/>
      <c r="D200" s="14"/>
      <c r="E200" s="14"/>
      <c r="F200" s="14"/>
      <c r="G200" s="14"/>
      <c r="H200" s="14"/>
      <c r="I200" s="14"/>
      <c r="J200" s="14">
        <f t="shared" si="25"/>
        <v>0</v>
      </c>
      <c r="K200" s="14">
        <f t="shared" si="26"/>
        <v>6</v>
      </c>
      <c r="L200" s="14">
        <f t="shared" si="27"/>
        <v>-6</v>
      </c>
      <c r="M200" s="13"/>
    </row>
    <row r="201" spans="1:13" ht="15" customHeight="1" x14ac:dyDescent="0.45">
      <c r="A201" s="19">
        <v>46340</v>
      </c>
      <c r="B201" s="14" t="str">
        <f t="shared" si="24"/>
        <v>Sat</v>
      </c>
      <c r="C201" s="14"/>
      <c r="D201" s="14"/>
      <c r="E201" s="14"/>
      <c r="F201" s="14"/>
      <c r="G201" s="14"/>
      <c r="H201" s="14"/>
      <c r="I201" s="14"/>
      <c r="J201" s="14">
        <f t="shared" si="25"/>
        <v>0</v>
      </c>
      <c r="K201" s="14">
        <f t="shared" si="26"/>
        <v>6</v>
      </c>
      <c r="L201" s="14">
        <f t="shared" si="27"/>
        <v>-6</v>
      </c>
      <c r="M201" s="13"/>
    </row>
  </sheetData>
  <conditionalFormatting sqref="L2:L201">
    <cfRule type="cellIs" dxfId="29" priority="2" operator="greaterThanOrEqual">
      <formula>0</formula>
    </cfRule>
    <cfRule type="cellIs" dxfId="28" priority="3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13"/>
  <sheetViews>
    <sheetView zoomScale="115" zoomScaleNormal="115" workbookViewId="0">
      <pane ySplit="1" topLeftCell="A2" activePane="bottomLeft" state="frozen"/>
      <selection pane="bottomLeft" activeCell="G14" sqref="G14"/>
    </sheetView>
  </sheetViews>
  <sheetFormatPr defaultColWidth="8.6640625" defaultRowHeight="14.25" x14ac:dyDescent="0.45"/>
  <cols>
    <col min="1" max="1" width="10" customWidth="1"/>
    <col min="2" max="2" width="6" customWidth="1"/>
    <col min="3" max="3" width="65" customWidth="1"/>
    <col min="4" max="4" width="9" customWidth="1"/>
    <col min="5" max="5" width="10" customWidth="1"/>
    <col min="6" max="6" width="8" customWidth="1"/>
    <col min="7" max="7" width="10" customWidth="1"/>
    <col min="8" max="8" width="12" customWidth="1"/>
    <col min="9" max="9" width="30" customWidth="1"/>
  </cols>
  <sheetData>
    <row r="1" spans="1:9" ht="27.75" customHeight="1" x14ac:dyDescent="0.45">
      <c r="A1" s="10" t="s">
        <v>12</v>
      </c>
      <c r="B1" s="10" t="s">
        <v>79</v>
      </c>
      <c r="C1" s="10" t="s">
        <v>130</v>
      </c>
      <c r="D1" s="10" t="s">
        <v>131</v>
      </c>
      <c r="E1" s="10" t="s">
        <v>83</v>
      </c>
      <c r="F1" s="10" t="s">
        <v>132</v>
      </c>
      <c r="G1" s="10" t="s">
        <v>133</v>
      </c>
      <c r="H1" s="10" t="s">
        <v>134</v>
      </c>
      <c r="I1" s="10" t="s">
        <v>129</v>
      </c>
    </row>
    <row r="2" spans="1:9" ht="15" customHeight="1" x14ac:dyDescent="0.45">
      <c r="A2" s="13" t="s">
        <v>20</v>
      </c>
      <c r="B2" s="14">
        <v>0</v>
      </c>
      <c r="C2" s="13" t="s">
        <v>135</v>
      </c>
      <c r="D2" s="14" t="s">
        <v>136</v>
      </c>
      <c r="E2" s="14" t="s">
        <v>13</v>
      </c>
      <c r="F2" s="14">
        <v>1</v>
      </c>
      <c r="G2" s="14">
        <v>1</v>
      </c>
      <c r="H2" s="19"/>
      <c r="I2" s="13"/>
    </row>
    <row r="3" spans="1:9" ht="15" customHeight="1" x14ac:dyDescent="0.45">
      <c r="A3" s="13" t="s">
        <v>20</v>
      </c>
      <c r="B3" s="14">
        <v>0</v>
      </c>
      <c r="C3" s="13" t="s">
        <v>138</v>
      </c>
      <c r="D3" s="14" t="s">
        <v>136</v>
      </c>
      <c r="E3" s="14" t="s">
        <v>13</v>
      </c>
      <c r="F3" s="14">
        <v>0.5</v>
      </c>
      <c r="G3" s="14">
        <v>0.5</v>
      </c>
      <c r="H3" s="19"/>
      <c r="I3" s="13"/>
    </row>
    <row r="4" spans="1:9" ht="15" customHeight="1" x14ac:dyDescent="0.45">
      <c r="A4" s="13" t="s">
        <v>20</v>
      </c>
      <c r="B4" s="14">
        <v>0</v>
      </c>
      <c r="C4" s="13" t="s">
        <v>139</v>
      </c>
      <c r="D4" s="14" t="s">
        <v>136</v>
      </c>
      <c r="E4" s="14" t="s">
        <v>13</v>
      </c>
      <c r="F4" s="14">
        <v>1</v>
      </c>
      <c r="G4" s="14">
        <v>0.5</v>
      </c>
      <c r="H4" s="19"/>
      <c r="I4" s="13"/>
    </row>
    <row r="5" spans="1:9" ht="23.25" customHeight="1" x14ac:dyDescent="0.45">
      <c r="A5" s="13" t="s">
        <v>20</v>
      </c>
      <c r="B5" s="14">
        <v>0</v>
      </c>
      <c r="C5" s="13" t="s">
        <v>140</v>
      </c>
      <c r="D5" s="14" t="s">
        <v>136</v>
      </c>
      <c r="E5" s="14" t="s">
        <v>13</v>
      </c>
      <c r="F5" s="14">
        <v>1</v>
      </c>
      <c r="G5" s="14">
        <v>0.5</v>
      </c>
      <c r="H5" s="19"/>
      <c r="I5" s="13"/>
    </row>
    <row r="6" spans="1:9" ht="15" customHeight="1" x14ac:dyDescent="0.45">
      <c r="A6" s="13" t="s">
        <v>20</v>
      </c>
      <c r="B6" s="14">
        <v>0</v>
      </c>
      <c r="C6" s="13" t="s">
        <v>141</v>
      </c>
      <c r="D6" s="14" t="s">
        <v>136</v>
      </c>
      <c r="E6" s="14" t="s">
        <v>137</v>
      </c>
      <c r="F6" s="14">
        <v>1</v>
      </c>
      <c r="G6" s="14"/>
      <c r="H6" s="19"/>
      <c r="I6" s="13"/>
    </row>
    <row r="7" spans="1:9" ht="15" customHeight="1" x14ac:dyDescent="0.45">
      <c r="A7" s="13" t="s">
        <v>20</v>
      </c>
      <c r="B7" s="14">
        <v>0</v>
      </c>
      <c r="C7" s="13" t="s">
        <v>142</v>
      </c>
      <c r="D7" s="14" t="s">
        <v>136</v>
      </c>
      <c r="E7" s="14" t="s">
        <v>13</v>
      </c>
      <c r="F7" s="14">
        <v>0.5</v>
      </c>
      <c r="G7" s="14">
        <v>0.5</v>
      </c>
      <c r="H7" s="19"/>
      <c r="I7" s="13"/>
    </row>
    <row r="8" spans="1:9" ht="15" customHeight="1" x14ac:dyDescent="0.45">
      <c r="A8" s="13" t="s">
        <v>20</v>
      </c>
      <c r="B8" s="14">
        <v>0</v>
      </c>
      <c r="C8" s="13" t="s">
        <v>143</v>
      </c>
      <c r="D8" s="14" t="s">
        <v>136</v>
      </c>
      <c r="E8" s="14" t="s">
        <v>13</v>
      </c>
      <c r="F8" s="14">
        <v>1</v>
      </c>
      <c r="G8" s="14">
        <v>0.5</v>
      </c>
      <c r="H8" s="19"/>
      <c r="I8" s="13"/>
    </row>
    <row r="9" spans="1:9" ht="15" customHeight="1" x14ac:dyDescent="0.45">
      <c r="A9" s="13" t="s">
        <v>20</v>
      </c>
      <c r="B9" s="14">
        <v>0</v>
      </c>
      <c r="C9" s="13" t="s">
        <v>144</v>
      </c>
      <c r="D9" s="14" t="s">
        <v>136</v>
      </c>
      <c r="E9" s="14" t="s">
        <v>13</v>
      </c>
      <c r="F9" s="14">
        <v>0.5</v>
      </c>
      <c r="G9" s="14">
        <v>1</v>
      </c>
      <c r="H9" s="19"/>
      <c r="I9" s="13"/>
    </row>
    <row r="10" spans="1:9" ht="15" customHeight="1" x14ac:dyDescent="0.45">
      <c r="A10" s="13" t="s">
        <v>20</v>
      </c>
      <c r="B10" s="14">
        <v>0</v>
      </c>
      <c r="C10" s="13" t="s">
        <v>145</v>
      </c>
      <c r="D10" s="14" t="s">
        <v>136</v>
      </c>
      <c r="E10" s="14" t="s">
        <v>137</v>
      </c>
      <c r="F10" s="14">
        <v>1</v>
      </c>
      <c r="G10" s="14">
        <v>0</v>
      </c>
      <c r="H10" s="19"/>
      <c r="I10" s="13"/>
    </row>
    <row r="11" spans="1:9" ht="15" customHeight="1" x14ac:dyDescent="0.45">
      <c r="A11" s="13" t="s">
        <v>20</v>
      </c>
      <c r="B11" s="14">
        <v>0</v>
      </c>
      <c r="C11" s="13" t="s">
        <v>146</v>
      </c>
      <c r="D11" s="14" t="s">
        <v>147</v>
      </c>
      <c r="E11" s="14" t="s">
        <v>137</v>
      </c>
      <c r="F11" s="14">
        <v>0.5</v>
      </c>
      <c r="G11" s="14">
        <v>0</v>
      </c>
      <c r="H11" s="19"/>
      <c r="I11" s="13"/>
    </row>
    <row r="12" spans="1:9" ht="15" customHeight="1" x14ac:dyDescent="0.45">
      <c r="A12" s="13" t="s">
        <v>20</v>
      </c>
      <c r="B12" s="14">
        <v>0</v>
      </c>
      <c r="C12" s="13" t="s">
        <v>148</v>
      </c>
      <c r="D12" s="14" t="s">
        <v>147</v>
      </c>
      <c r="E12" s="14" t="s">
        <v>13</v>
      </c>
      <c r="F12" s="14">
        <v>0.5</v>
      </c>
      <c r="G12" s="14">
        <v>0.2</v>
      </c>
      <c r="H12" s="19"/>
      <c r="I12" s="13"/>
    </row>
    <row r="13" spans="1:9" ht="15" customHeight="1" x14ac:dyDescent="0.45">
      <c r="A13" s="13" t="s">
        <v>20</v>
      </c>
      <c r="B13" s="14">
        <v>0</v>
      </c>
      <c r="C13" s="13" t="s">
        <v>149</v>
      </c>
      <c r="D13" s="14" t="s">
        <v>136</v>
      </c>
      <c r="E13" s="14" t="s">
        <v>13</v>
      </c>
      <c r="F13" s="14">
        <v>1</v>
      </c>
      <c r="G13" s="14">
        <v>0.2</v>
      </c>
      <c r="H13" s="19"/>
      <c r="I13" s="13"/>
    </row>
    <row r="14" spans="1:9" ht="15" customHeight="1" x14ac:dyDescent="0.45">
      <c r="A14" s="13" t="s">
        <v>20</v>
      </c>
      <c r="B14" s="14">
        <v>0</v>
      </c>
      <c r="C14" s="13" t="s">
        <v>150</v>
      </c>
      <c r="D14" s="14" t="s">
        <v>151</v>
      </c>
      <c r="E14" s="14" t="s">
        <v>137</v>
      </c>
      <c r="F14" s="14">
        <v>1</v>
      </c>
      <c r="G14" s="14">
        <v>0</v>
      </c>
      <c r="H14" s="19"/>
      <c r="I14" s="13"/>
    </row>
    <row r="15" spans="1:9" ht="15" customHeight="1" x14ac:dyDescent="0.45">
      <c r="A15" s="13" t="s">
        <v>20</v>
      </c>
      <c r="B15" s="14">
        <v>0</v>
      </c>
      <c r="C15" s="13" t="s">
        <v>152</v>
      </c>
      <c r="D15" s="14" t="s">
        <v>136</v>
      </c>
      <c r="E15" s="14" t="s">
        <v>137</v>
      </c>
      <c r="F15" s="14">
        <v>0.5</v>
      </c>
      <c r="G15" s="14">
        <v>0</v>
      </c>
      <c r="H15" s="19"/>
      <c r="I15" s="13"/>
    </row>
    <row r="16" spans="1:9" ht="23.25" customHeight="1" x14ac:dyDescent="0.45">
      <c r="A16" s="13" t="s">
        <v>20</v>
      </c>
      <c r="B16" s="14">
        <v>0</v>
      </c>
      <c r="C16" s="13" t="s">
        <v>153</v>
      </c>
      <c r="D16" s="14" t="s">
        <v>136</v>
      </c>
      <c r="E16" s="14" t="s">
        <v>137</v>
      </c>
      <c r="F16" s="14">
        <v>1</v>
      </c>
      <c r="G16" s="14">
        <v>0</v>
      </c>
      <c r="H16" s="19"/>
      <c r="I16" s="13"/>
    </row>
    <row r="17" spans="1:9" ht="15" customHeight="1" x14ac:dyDescent="0.45">
      <c r="A17" s="13" t="s">
        <v>20</v>
      </c>
      <c r="B17" s="14">
        <v>0</v>
      </c>
      <c r="C17" s="13" t="s">
        <v>154</v>
      </c>
      <c r="D17" s="14" t="s">
        <v>155</v>
      </c>
      <c r="E17" s="14" t="s">
        <v>137</v>
      </c>
      <c r="F17" s="14">
        <v>2</v>
      </c>
      <c r="G17" s="14">
        <v>0</v>
      </c>
      <c r="H17" s="19"/>
      <c r="I17" s="13"/>
    </row>
    <row r="18" spans="1:9" ht="15" customHeight="1" x14ac:dyDescent="0.45">
      <c r="A18" s="13" t="s">
        <v>20</v>
      </c>
      <c r="B18" s="14">
        <v>0</v>
      </c>
      <c r="C18" s="13" t="s">
        <v>156</v>
      </c>
      <c r="D18" s="14" t="s">
        <v>136</v>
      </c>
      <c r="E18" s="14" t="s">
        <v>13</v>
      </c>
      <c r="F18" s="14">
        <v>0.5</v>
      </c>
      <c r="G18" s="14">
        <v>0</v>
      </c>
      <c r="H18" s="19"/>
      <c r="I18" s="13"/>
    </row>
    <row r="19" spans="1:9" ht="15" customHeight="1" x14ac:dyDescent="0.45">
      <c r="A19" s="13" t="s">
        <v>20</v>
      </c>
      <c r="B19" s="14">
        <v>0</v>
      </c>
      <c r="C19" s="13" t="s">
        <v>157</v>
      </c>
      <c r="D19" s="14" t="s">
        <v>136</v>
      </c>
      <c r="E19" s="14" t="s">
        <v>137</v>
      </c>
      <c r="F19" s="14">
        <v>0.5</v>
      </c>
      <c r="G19" s="14">
        <v>0</v>
      </c>
      <c r="H19" s="19"/>
      <c r="I19" s="13"/>
    </row>
    <row r="20" spans="1:9" ht="15" customHeight="1" x14ac:dyDescent="0.45">
      <c r="A20" s="13" t="s">
        <v>20</v>
      </c>
      <c r="B20" s="14">
        <v>0</v>
      </c>
      <c r="C20" s="13" t="s">
        <v>158</v>
      </c>
      <c r="D20" s="14" t="s">
        <v>155</v>
      </c>
      <c r="E20" s="14" t="s">
        <v>137</v>
      </c>
      <c r="F20" s="14">
        <v>1</v>
      </c>
      <c r="G20" s="14">
        <v>0</v>
      </c>
      <c r="H20" s="19"/>
      <c r="I20" s="13"/>
    </row>
    <row r="21" spans="1:9" ht="15" customHeight="1" x14ac:dyDescent="0.45">
      <c r="A21" s="13" t="s">
        <v>20</v>
      </c>
      <c r="B21" s="14">
        <v>0</v>
      </c>
      <c r="C21" s="13" t="s">
        <v>159</v>
      </c>
      <c r="D21" s="14" t="s">
        <v>136</v>
      </c>
      <c r="E21" s="14" t="s">
        <v>137</v>
      </c>
      <c r="F21" s="14">
        <v>0.5</v>
      </c>
      <c r="G21" s="14">
        <v>0</v>
      </c>
      <c r="H21" s="19"/>
      <c r="I21" s="13"/>
    </row>
    <row r="22" spans="1:9" ht="15" customHeight="1" x14ac:dyDescent="0.45">
      <c r="A22" s="13" t="s">
        <v>20</v>
      </c>
      <c r="B22" s="14">
        <v>0</v>
      </c>
      <c r="C22" s="13" t="s">
        <v>160</v>
      </c>
      <c r="D22" s="14" t="s">
        <v>136</v>
      </c>
      <c r="E22" s="14" t="s">
        <v>671</v>
      </c>
      <c r="F22" s="14">
        <v>0.25</v>
      </c>
      <c r="G22" s="14">
        <v>0</v>
      </c>
      <c r="H22" s="19"/>
      <c r="I22" s="13"/>
    </row>
    <row r="23" spans="1:9" ht="15" customHeight="1" x14ac:dyDescent="0.45">
      <c r="A23" s="13" t="s">
        <v>24</v>
      </c>
      <c r="B23" s="14">
        <v>1</v>
      </c>
      <c r="C23" s="13" t="s">
        <v>161</v>
      </c>
      <c r="D23" s="14" t="s">
        <v>136</v>
      </c>
      <c r="E23" s="14" t="s">
        <v>137</v>
      </c>
      <c r="F23" s="14">
        <v>1</v>
      </c>
      <c r="G23" s="14">
        <v>0</v>
      </c>
      <c r="H23" s="19"/>
      <c r="I23" s="13"/>
    </row>
    <row r="24" spans="1:9" ht="15" customHeight="1" x14ac:dyDescent="0.45">
      <c r="A24" s="13" t="s">
        <v>24</v>
      </c>
      <c r="B24" s="14">
        <v>1</v>
      </c>
      <c r="C24" s="13" t="s">
        <v>162</v>
      </c>
      <c r="D24" s="14" t="s">
        <v>136</v>
      </c>
      <c r="E24" s="14" t="s">
        <v>137</v>
      </c>
      <c r="F24" s="14">
        <v>8</v>
      </c>
      <c r="G24" s="14">
        <v>0</v>
      </c>
      <c r="H24" s="19"/>
      <c r="I24" s="13"/>
    </row>
    <row r="25" spans="1:9" ht="15" customHeight="1" x14ac:dyDescent="0.45">
      <c r="A25" s="13" t="s">
        <v>24</v>
      </c>
      <c r="B25" s="14">
        <v>1</v>
      </c>
      <c r="C25" s="13" t="s">
        <v>163</v>
      </c>
      <c r="D25" s="14" t="s">
        <v>136</v>
      </c>
      <c r="E25" s="14" t="s">
        <v>137</v>
      </c>
      <c r="F25" s="14">
        <v>4</v>
      </c>
      <c r="G25" s="14">
        <v>0</v>
      </c>
      <c r="H25" s="19"/>
      <c r="I25" s="13"/>
    </row>
    <row r="26" spans="1:9" ht="15" customHeight="1" x14ac:dyDescent="0.45">
      <c r="A26" s="13" t="s">
        <v>24</v>
      </c>
      <c r="B26" s="14">
        <v>1</v>
      </c>
      <c r="C26" s="13" t="s">
        <v>164</v>
      </c>
      <c r="D26" s="14" t="s">
        <v>136</v>
      </c>
      <c r="E26" s="14" t="s">
        <v>137</v>
      </c>
      <c r="F26" s="14">
        <v>1</v>
      </c>
      <c r="G26" s="14">
        <v>0</v>
      </c>
      <c r="H26" s="19"/>
      <c r="I26" s="13"/>
    </row>
    <row r="27" spans="1:9" ht="15" customHeight="1" x14ac:dyDescent="0.45">
      <c r="A27" s="13" t="s">
        <v>24</v>
      </c>
      <c r="B27" s="14">
        <v>1</v>
      </c>
      <c r="C27" s="13" t="s">
        <v>165</v>
      </c>
      <c r="D27" s="14" t="s">
        <v>136</v>
      </c>
      <c r="E27" s="14" t="s">
        <v>137</v>
      </c>
      <c r="F27" s="14">
        <v>0.5</v>
      </c>
      <c r="G27" s="14">
        <v>0</v>
      </c>
      <c r="H27" s="19"/>
      <c r="I27" s="13"/>
    </row>
    <row r="28" spans="1:9" ht="15" customHeight="1" x14ac:dyDescent="0.45">
      <c r="A28" s="13" t="s">
        <v>24</v>
      </c>
      <c r="B28" s="14">
        <v>1</v>
      </c>
      <c r="C28" s="13" t="s">
        <v>166</v>
      </c>
      <c r="D28" s="14" t="s">
        <v>155</v>
      </c>
      <c r="E28" s="14" t="s">
        <v>137</v>
      </c>
      <c r="F28" s="14">
        <v>1</v>
      </c>
      <c r="G28" s="14">
        <v>0</v>
      </c>
      <c r="H28" s="19"/>
      <c r="I28" s="13"/>
    </row>
    <row r="29" spans="1:9" ht="15" customHeight="1" x14ac:dyDescent="0.45">
      <c r="A29" s="13" t="s">
        <v>24</v>
      </c>
      <c r="B29" s="14">
        <v>2</v>
      </c>
      <c r="C29" s="13" t="s">
        <v>167</v>
      </c>
      <c r="D29" s="14" t="s">
        <v>136</v>
      </c>
      <c r="E29" s="14" t="s">
        <v>137</v>
      </c>
      <c r="F29" s="14">
        <v>6</v>
      </c>
      <c r="G29" s="14">
        <v>0</v>
      </c>
      <c r="H29" s="19"/>
      <c r="I29" s="13"/>
    </row>
    <row r="30" spans="1:9" ht="15" customHeight="1" x14ac:dyDescent="0.45">
      <c r="A30" s="13" t="s">
        <v>24</v>
      </c>
      <c r="B30" s="14">
        <v>2</v>
      </c>
      <c r="C30" s="13" t="s">
        <v>168</v>
      </c>
      <c r="D30" s="14" t="s">
        <v>136</v>
      </c>
      <c r="E30" s="14" t="s">
        <v>137</v>
      </c>
      <c r="F30" s="14">
        <v>2</v>
      </c>
      <c r="G30" s="14">
        <v>0</v>
      </c>
      <c r="H30" s="19"/>
      <c r="I30" s="13"/>
    </row>
    <row r="31" spans="1:9" ht="15" customHeight="1" x14ac:dyDescent="0.45">
      <c r="A31" s="13" t="s">
        <v>24</v>
      </c>
      <c r="B31" s="14">
        <v>2</v>
      </c>
      <c r="C31" s="13" t="s">
        <v>169</v>
      </c>
      <c r="D31" s="14" t="s">
        <v>136</v>
      </c>
      <c r="E31" s="14" t="s">
        <v>137</v>
      </c>
      <c r="F31" s="14">
        <v>0.5</v>
      </c>
      <c r="G31" s="14">
        <v>0</v>
      </c>
      <c r="H31" s="19"/>
      <c r="I31" s="13"/>
    </row>
    <row r="32" spans="1:9" ht="15" customHeight="1" x14ac:dyDescent="0.45">
      <c r="A32" s="13" t="s">
        <v>24</v>
      </c>
      <c r="B32" s="14">
        <v>2</v>
      </c>
      <c r="C32" s="13" t="s">
        <v>170</v>
      </c>
      <c r="D32" s="14" t="s">
        <v>136</v>
      </c>
      <c r="E32" s="14" t="s">
        <v>137</v>
      </c>
      <c r="F32" s="14">
        <v>2</v>
      </c>
      <c r="G32" s="14">
        <v>0</v>
      </c>
      <c r="H32" s="19"/>
      <c r="I32" s="13"/>
    </row>
    <row r="33" spans="1:9" ht="15" customHeight="1" x14ac:dyDescent="0.45">
      <c r="A33" s="13" t="s">
        <v>24</v>
      </c>
      <c r="B33" s="14">
        <v>2</v>
      </c>
      <c r="C33" s="13" t="s">
        <v>171</v>
      </c>
      <c r="D33" s="14" t="s">
        <v>136</v>
      </c>
      <c r="E33" s="14" t="s">
        <v>137</v>
      </c>
      <c r="F33" s="14">
        <v>3</v>
      </c>
      <c r="G33" s="14">
        <v>0</v>
      </c>
      <c r="H33" s="19"/>
      <c r="I33" s="13"/>
    </row>
    <row r="34" spans="1:9" ht="15" customHeight="1" x14ac:dyDescent="0.45">
      <c r="A34" s="13" t="s">
        <v>24</v>
      </c>
      <c r="B34" s="14">
        <v>2</v>
      </c>
      <c r="C34" s="13" t="s">
        <v>172</v>
      </c>
      <c r="D34" s="14" t="s">
        <v>151</v>
      </c>
      <c r="E34" s="14" t="s">
        <v>137</v>
      </c>
      <c r="F34" s="14">
        <v>4</v>
      </c>
      <c r="G34" s="14">
        <v>0</v>
      </c>
      <c r="H34" s="19"/>
      <c r="I34" s="13"/>
    </row>
    <row r="35" spans="1:9" ht="15" customHeight="1" x14ac:dyDescent="0.45">
      <c r="A35" s="13" t="s">
        <v>24</v>
      </c>
      <c r="B35" s="14">
        <v>2</v>
      </c>
      <c r="C35" s="13" t="s">
        <v>173</v>
      </c>
      <c r="D35" s="14" t="s">
        <v>136</v>
      </c>
      <c r="E35" s="14" t="s">
        <v>137</v>
      </c>
      <c r="F35" s="14">
        <v>0.5</v>
      </c>
      <c r="G35" s="14">
        <v>0</v>
      </c>
      <c r="H35" s="19"/>
      <c r="I35" s="13"/>
    </row>
    <row r="36" spans="1:9" ht="15" customHeight="1" x14ac:dyDescent="0.45">
      <c r="A36" s="13" t="s">
        <v>34</v>
      </c>
      <c r="B36" s="14">
        <v>3</v>
      </c>
      <c r="C36" s="13" t="s">
        <v>174</v>
      </c>
      <c r="D36" s="14" t="s">
        <v>136</v>
      </c>
      <c r="E36" s="14" t="s">
        <v>137</v>
      </c>
      <c r="F36" s="14">
        <v>6</v>
      </c>
      <c r="G36" s="14">
        <v>0</v>
      </c>
      <c r="H36" s="19"/>
      <c r="I36" s="13"/>
    </row>
    <row r="37" spans="1:9" ht="15" customHeight="1" x14ac:dyDescent="0.45">
      <c r="A37" s="13" t="s">
        <v>34</v>
      </c>
      <c r="B37" s="14">
        <v>3</v>
      </c>
      <c r="C37" s="13" t="s">
        <v>175</v>
      </c>
      <c r="D37" s="14" t="s">
        <v>136</v>
      </c>
      <c r="E37" s="14" t="s">
        <v>137</v>
      </c>
      <c r="F37" s="14">
        <v>6</v>
      </c>
      <c r="G37" s="14">
        <v>0</v>
      </c>
      <c r="H37" s="19"/>
      <c r="I37" s="13"/>
    </row>
    <row r="38" spans="1:9" ht="15" customHeight="1" x14ac:dyDescent="0.45">
      <c r="A38" s="13" t="s">
        <v>34</v>
      </c>
      <c r="B38" s="14">
        <v>3</v>
      </c>
      <c r="C38" s="13" t="s">
        <v>176</v>
      </c>
      <c r="D38" s="14" t="s">
        <v>136</v>
      </c>
      <c r="E38" s="14" t="s">
        <v>137</v>
      </c>
      <c r="F38" s="14">
        <v>4</v>
      </c>
      <c r="G38" s="14">
        <v>0</v>
      </c>
      <c r="H38" s="19"/>
      <c r="I38" s="13"/>
    </row>
    <row r="39" spans="1:9" ht="15" customHeight="1" x14ac:dyDescent="0.45">
      <c r="A39" s="13" t="s">
        <v>34</v>
      </c>
      <c r="B39" s="14">
        <v>3</v>
      </c>
      <c r="C39" s="13" t="s">
        <v>177</v>
      </c>
      <c r="D39" s="14" t="s">
        <v>136</v>
      </c>
      <c r="E39" s="14" t="s">
        <v>137</v>
      </c>
      <c r="F39" s="14">
        <v>4</v>
      </c>
      <c r="G39" s="14">
        <v>0</v>
      </c>
      <c r="H39" s="19"/>
      <c r="I39" s="13"/>
    </row>
    <row r="40" spans="1:9" ht="23.25" customHeight="1" x14ac:dyDescent="0.45">
      <c r="A40" s="13" t="s">
        <v>34</v>
      </c>
      <c r="B40" s="14">
        <v>3</v>
      </c>
      <c r="C40" s="13" t="s">
        <v>178</v>
      </c>
      <c r="D40" s="14" t="s">
        <v>155</v>
      </c>
      <c r="E40" s="14" t="s">
        <v>137</v>
      </c>
      <c r="F40" s="14">
        <v>4</v>
      </c>
      <c r="G40" s="14">
        <v>0</v>
      </c>
      <c r="H40" s="19"/>
      <c r="I40" s="13"/>
    </row>
    <row r="41" spans="1:9" ht="15" customHeight="1" x14ac:dyDescent="0.45">
      <c r="A41" s="13" t="s">
        <v>34</v>
      </c>
      <c r="B41" s="14">
        <v>3</v>
      </c>
      <c r="C41" s="13" t="s">
        <v>179</v>
      </c>
      <c r="D41" s="14" t="s">
        <v>155</v>
      </c>
      <c r="E41" s="14" t="s">
        <v>137</v>
      </c>
      <c r="F41" s="14">
        <v>0.5</v>
      </c>
      <c r="G41" s="14">
        <v>0</v>
      </c>
      <c r="H41" s="19"/>
      <c r="I41" s="13"/>
    </row>
    <row r="42" spans="1:9" ht="15" customHeight="1" x14ac:dyDescent="0.45">
      <c r="A42" s="13" t="s">
        <v>34</v>
      </c>
      <c r="B42" s="14">
        <v>4</v>
      </c>
      <c r="C42" s="13" t="s">
        <v>180</v>
      </c>
      <c r="D42" s="14" t="s">
        <v>136</v>
      </c>
      <c r="E42" s="14" t="s">
        <v>137</v>
      </c>
      <c r="F42" s="14">
        <v>4</v>
      </c>
      <c r="G42" s="14">
        <v>0</v>
      </c>
      <c r="H42" s="19"/>
      <c r="I42" s="13"/>
    </row>
    <row r="43" spans="1:9" ht="15" customHeight="1" x14ac:dyDescent="0.45">
      <c r="A43" s="13" t="s">
        <v>34</v>
      </c>
      <c r="B43" s="14">
        <v>4</v>
      </c>
      <c r="C43" s="13" t="s">
        <v>181</v>
      </c>
      <c r="D43" s="14" t="s">
        <v>136</v>
      </c>
      <c r="E43" s="14" t="s">
        <v>137</v>
      </c>
      <c r="F43" s="14">
        <v>3</v>
      </c>
      <c r="G43" s="14">
        <v>0</v>
      </c>
      <c r="H43" s="19"/>
      <c r="I43" s="13"/>
    </row>
    <row r="44" spans="1:9" ht="15" customHeight="1" x14ac:dyDescent="0.45">
      <c r="A44" s="13" t="s">
        <v>34</v>
      </c>
      <c r="B44" s="14">
        <v>4</v>
      </c>
      <c r="C44" s="13" t="s">
        <v>182</v>
      </c>
      <c r="D44" s="14" t="s">
        <v>136</v>
      </c>
      <c r="E44" s="14" t="s">
        <v>137</v>
      </c>
      <c r="F44" s="14">
        <v>4</v>
      </c>
      <c r="G44" s="14">
        <v>0</v>
      </c>
      <c r="H44" s="19"/>
      <c r="I44" s="13"/>
    </row>
    <row r="45" spans="1:9" ht="15" customHeight="1" x14ac:dyDescent="0.45">
      <c r="A45" s="13" t="s">
        <v>34</v>
      </c>
      <c r="B45" s="14">
        <v>4</v>
      </c>
      <c r="C45" s="13" t="s">
        <v>183</v>
      </c>
      <c r="D45" s="14" t="s">
        <v>136</v>
      </c>
      <c r="E45" s="14" t="s">
        <v>137</v>
      </c>
      <c r="F45" s="14">
        <v>0.5</v>
      </c>
      <c r="G45" s="14">
        <v>0</v>
      </c>
      <c r="H45" s="19"/>
      <c r="I45" s="13"/>
    </row>
    <row r="46" spans="1:9" ht="15" customHeight="1" x14ac:dyDescent="0.45">
      <c r="A46" s="13" t="s">
        <v>34</v>
      </c>
      <c r="B46" s="14">
        <v>4</v>
      </c>
      <c r="C46" s="13" t="s">
        <v>184</v>
      </c>
      <c r="D46" s="14" t="s">
        <v>155</v>
      </c>
      <c r="E46" s="14" t="s">
        <v>137</v>
      </c>
      <c r="F46" s="14">
        <v>1</v>
      </c>
      <c r="G46" s="14">
        <v>0</v>
      </c>
      <c r="H46" s="19"/>
      <c r="I46" s="13"/>
    </row>
    <row r="47" spans="1:9" ht="15" customHeight="1" x14ac:dyDescent="0.45">
      <c r="A47" s="13" t="s">
        <v>34</v>
      </c>
      <c r="B47" s="14">
        <v>4</v>
      </c>
      <c r="C47" s="13" t="s">
        <v>185</v>
      </c>
      <c r="D47" s="14" t="s">
        <v>136</v>
      </c>
      <c r="E47" s="14" t="s">
        <v>137</v>
      </c>
      <c r="F47" s="14">
        <v>8</v>
      </c>
      <c r="G47" s="14">
        <v>0</v>
      </c>
      <c r="H47" s="19"/>
      <c r="I47" s="13"/>
    </row>
    <row r="48" spans="1:9" ht="23.25" customHeight="1" x14ac:dyDescent="0.45">
      <c r="A48" s="13" t="s">
        <v>38</v>
      </c>
      <c r="B48" s="14">
        <v>5</v>
      </c>
      <c r="C48" s="13" t="s">
        <v>186</v>
      </c>
      <c r="D48" s="14" t="s">
        <v>151</v>
      </c>
      <c r="E48" s="14" t="s">
        <v>137</v>
      </c>
      <c r="F48" s="14">
        <v>6</v>
      </c>
      <c r="G48" s="14">
        <v>0</v>
      </c>
      <c r="H48" s="19"/>
      <c r="I48" s="13"/>
    </row>
    <row r="49" spans="1:9" ht="15" customHeight="1" x14ac:dyDescent="0.45">
      <c r="A49" s="13" t="s">
        <v>38</v>
      </c>
      <c r="B49" s="14">
        <v>5</v>
      </c>
      <c r="C49" s="13" t="s">
        <v>187</v>
      </c>
      <c r="D49" s="14" t="s">
        <v>136</v>
      </c>
      <c r="E49" s="14" t="s">
        <v>137</v>
      </c>
      <c r="F49" s="14">
        <v>4</v>
      </c>
      <c r="G49" s="14">
        <v>0</v>
      </c>
      <c r="H49" s="19"/>
      <c r="I49" s="13"/>
    </row>
    <row r="50" spans="1:9" ht="15" customHeight="1" x14ac:dyDescent="0.45">
      <c r="A50" s="13" t="s">
        <v>38</v>
      </c>
      <c r="B50" s="14">
        <v>5</v>
      </c>
      <c r="C50" s="13" t="s">
        <v>188</v>
      </c>
      <c r="D50" s="14" t="s">
        <v>136</v>
      </c>
      <c r="E50" s="14" t="s">
        <v>137</v>
      </c>
      <c r="F50" s="14">
        <v>8</v>
      </c>
      <c r="G50" s="14">
        <v>0</v>
      </c>
      <c r="H50" s="19"/>
      <c r="I50" s="13"/>
    </row>
    <row r="51" spans="1:9" ht="15" customHeight="1" x14ac:dyDescent="0.45">
      <c r="A51" s="13" t="s">
        <v>38</v>
      </c>
      <c r="B51" s="14">
        <v>5</v>
      </c>
      <c r="C51" s="13" t="s">
        <v>189</v>
      </c>
      <c r="D51" s="14" t="s">
        <v>151</v>
      </c>
      <c r="E51" s="14" t="s">
        <v>137</v>
      </c>
      <c r="F51" s="14">
        <v>4</v>
      </c>
      <c r="G51" s="14">
        <v>0</v>
      </c>
      <c r="H51" s="19"/>
      <c r="I51" s="13"/>
    </row>
    <row r="52" spans="1:9" ht="15" customHeight="1" x14ac:dyDescent="0.45">
      <c r="A52" s="13" t="s">
        <v>38</v>
      </c>
      <c r="B52" s="14">
        <v>5</v>
      </c>
      <c r="C52" s="13" t="s">
        <v>190</v>
      </c>
      <c r="D52" s="14" t="s">
        <v>136</v>
      </c>
      <c r="E52" s="14" t="s">
        <v>137</v>
      </c>
      <c r="F52" s="14">
        <v>3</v>
      </c>
      <c r="G52" s="14">
        <v>0</v>
      </c>
      <c r="H52" s="19"/>
      <c r="I52" s="13"/>
    </row>
    <row r="53" spans="1:9" ht="15" customHeight="1" x14ac:dyDescent="0.45">
      <c r="A53" s="13" t="s">
        <v>38</v>
      </c>
      <c r="B53" s="14">
        <v>5</v>
      </c>
      <c r="C53" s="13" t="s">
        <v>191</v>
      </c>
      <c r="D53" s="14" t="s">
        <v>155</v>
      </c>
      <c r="E53" s="14" t="s">
        <v>137</v>
      </c>
      <c r="F53" s="14">
        <v>0.5</v>
      </c>
      <c r="G53" s="14">
        <v>0</v>
      </c>
      <c r="H53" s="19"/>
      <c r="I53" s="13"/>
    </row>
    <row r="54" spans="1:9" ht="15" customHeight="1" x14ac:dyDescent="0.45">
      <c r="A54" s="13" t="s">
        <v>38</v>
      </c>
      <c r="B54" s="14">
        <v>6</v>
      </c>
      <c r="C54" s="13" t="s">
        <v>192</v>
      </c>
      <c r="D54" s="14" t="s">
        <v>136</v>
      </c>
      <c r="E54" s="14" t="s">
        <v>137</v>
      </c>
      <c r="F54" s="14">
        <v>8</v>
      </c>
      <c r="G54" s="14">
        <v>0</v>
      </c>
      <c r="H54" s="19"/>
      <c r="I54" s="13"/>
    </row>
    <row r="55" spans="1:9" ht="15" customHeight="1" x14ac:dyDescent="0.45">
      <c r="A55" s="13" t="s">
        <v>38</v>
      </c>
      <c r="B55" s="14">
        <v>6</v>
      </c>
      <c r="C55" s="13" t="s">
        <v>193</v>
      </c>
      <c r="D55" s="14" t="s">
        <v>136</v>
      </c>
      <c r="E55" s="14" t="s">
        <v>137</v>
      </c>
      <c r="F55" s="14">
        <v>4</v>
      </c>
      <c r="G55" s="14">
        <v>0</v>
      </c>
      <c r="H55" s="19"/>
      <c r="I55" s="13"/>
    </row>
    <row r="56" spans="1:9" ht="15" customHeight="1" x14ac:dyDescent="0.45">
      <c r="A56" s="13" t="s">
        <v>38</v>
      </c>
      <c r="B56" s="14">
        <v>6</v>
      </c>
      <c r="C56" s="13" t="s">
        <v>194</v>
      </c>
      <c r="D56" s="14" t="s">
        <v>136</v>
      </c>
      <c r="E56" s="14" t="s">
        <v>137</v>
      </c>
      <c r="F56" s="14">
        <v>4</v>
      </c>
      <c r="G56" s="14">
        <v>0</v>
      </c>
      <c r="H56" s="19"/>
      <c r="I56" s="13"/>
    </row>
    <row r="57" spans="1:9" ht="15" customHeight="1" x14ac:dyDescent="0.45">
      <c r="A57" s="13" t="s">
        <v>38</v>
      </c>
      <c r="B57" s="14">
        <v>6</v>
      </c>
      <c r="C57" s="13" t="s">
        <v>195</v>
      </c>
      <c r="D57" s="14" t="s">
        <v>136</v>
      </c>
      <c r="E57" s="14" t="s">
        <v>137</v>
      </c>
      <c r="F57" s="14">
        <v>4</v>
      </c>
      <c r="G57" s="14">
        <v>0</v>
      </c>
      <c r="H57" s="19"/>
      <c r="I57" s="13"/>
    </row>
    <row r="58" spans="1:9" ht="15" customHeight="1" x14ac:dyDescent="0.45">
      <c r="A58" s="13" t="s">
        <v>38</v>
      </c>
      <c r="B58" s="14">
        <v>7</v>
      </c>
      <c r="C58" s="13" t="s">
        <v>196</v>
      </c>
      <c r="D58" s="14" t="s">
        <v>136</v>
      </c>
      <c r="E58" s="14" t="s">
        <v>137</v>
      </c>
      <c r="F58" s="14">
        <v>8</v>
      </c>
      <c r="G58" s="14">
        <v>0</v>
      </c>
      <c r="H58" s="19"/>
      <c r="I58" s="13"/>
    </row>
    <row r="59" spans="1:9" ht="15" customHeight="1" x14ac:dyDescent="0.45">
      <c r="A59" s="13" t="s">
        <v>38</v>
      </c>
      <c r="B59" s="14">
        <v>7</v>
      </c>
      <c r="C59" s="13" t="s">
        <v>197</v>
      </c>
      <c r="D59" s="14" t="s">
        <v>155</v>
      </c>
      <c r="E59" s="14" t="s">
        <v>137</v>
      </c>
      <c r="F59" s="14">
        <v>2</v>
      </c>
      <c r="G59" s="14">
        <v>0</v>
      </c>
      <c r="H59" s="19"/>
      <c r="I59" s="13"/>
    </row>
    <row r="60" spans="1:9" ht="15" customHeight="1" x14ac:dyDescent="0.45">
      <c r="A60" s="13" t="s">
        <v>38</v>
      </c>
      <c r="B60" s="14">
        <v>7</v>
      </c>
      <c r="C60" s="13" t="s">
        <v>198</v>
      </c>
      <c r="D60" s="14" t="s">
        <v>136</v>
      </c>
      <c r="E60" s="14" t="s">
        <v>137</v>
      </c>
      <c r="F60" s="14">
        <v>4</v>
      </c>
      <c r="G60" s="14">
        <v>0</v>
      </c>
      <c r="H60" s="19"/>
      <c r="I60" s="13"/>
    </row>
    <row r="61" spans="1:9" ht="15" customHeight="1" x14ac:dyDescent="0.45">
      <c r="A61" s="13" t="s">
        <v>38</v>
      </c>
      <c r="B61" s="14">
        <v>7</v>
      </c>
      <c r="C61" s="13" t="s">
        <v>199</v>
      </c>
      <c r="D61" s="14" t="s">
        <v>151</v>
      </c>
      <c r="E61" s="14" t="s">
        <v>137</v>
      </c>
      <c r="F61" s="14">
        <v>6</v>
      </c>
      <c r="G61" s="14">
        <v>0</v>
      </c>
      <c r="H61" s="19"/>
      <c r="I61" s="13"/>
    </row>
    <row r="62" spans="1:9" ht="15" customHeight="1" x14ac:dyDescent="0.45">
      <c r="A62" s="13" t="s">
        <v>38</v>
      </c>
      <c r="B62" s="14">
        <v>7</v>
      </c>
      <c r="C62" s="13" t="s">
        <v>200</v>
      </c>
      <c r="D62" s="14" t="s">
        <v>136</v>
      </c>
      <c r="E62" s="14" t="s">
        <v>137</v>
      </c>
      <c r="F62" s="14">
        <v>3</v>
      </c>
      <c r="G62" s="14">
        <v>0</v>
      </c>
      <c r="H62" s="19"/>
      <c r="I62" s="13"/>
    </row>
    <row r="63" spans="1:9" ht="15" customHeight="1" x14ac:dyDescent="0.45">
      <c r="A63" s="13" t="s">
        <v>38</v>
      </c>
      <c r="B63" s="14">
        <v>7</v>
      </c>
      <c r="C63" s="13" t="s">
        <v>201</v>
      </c>
      <c r="D63" s="14" t="s">
        <v>155</v>
      </c>
      <c r="E63" s="14" t="s">
        <v>137</v>
      </c>
      <c r="F63" s="14">
        <v>0.5</v>
      </c>
      <c r="G63" s="14">
        <v>0</v>
      </c>
      <c r="H63" s="19"/>
      <c r="I63" s="13"/>
    </row>
    <row r="64" spans="1:9" ht="15" customHeight="1" x14ac:dyDescent="0.45">
      <c r="A64" s="13" t="s">
        <v>38</v>
      </c>
      <c r="B64" s="14">
        <v>7</v>
      </c>
      <c r="C64" s="13" t="s">
        <v>202</v>
      </c>
      <c r="D64" s="14" t="s">
        <v>136</v>
      </c>
      <c r="E64" s="14" t="s">
        <v>137</v>
      </c>
      <c r="F64" s="14">
        <v>0.5</v>
      </c>
      <c r="G64" s="14">
        <v>0</v>
      </c>
      <c r="H64" s="19"/>
      <c r="I64" s="13"/>
    </row>
    <row r="65" spans="1:9" ht="15" customHeight="1" x14ac:dyDescent="0.45">
      <c r="A65" s="13" t="s">
        <v>38</v>
      </c>
      <c r="B65" s="14">
        <v>7</v>
      </c>
      <c r="C65" s="13" t="s">
        <v>203</v>
      </c>
      <c r="D65" s="14" t="s">
        <v>155</v>
      </c>
      <c r="E65" s="14" t="s">
        <v>137</v>
      </c>
      <c r="F65" s="14">
        <v>1</v>
      </c>
      <c r="G65" s="14">
        <v>0</v>
      </c>
      <c r="H65" s="19"/>
      <c r="I65" s="13"/>
    </row>
    <row r="66" spans="1:9" ht="15" customHeight="1" x14ac:dyDescent="0.45">
      <c r="A66" s="13" t="s">
        <v>42</v>
      </c>
      <c r="B66" s="14">
        <v>8</v>
      </c>
      <c r="C66" s="13" t="s">
        <v>204</v>
      </c>
      <c r="D66" s="14" t="s">
        <v>136</v>
      </c>
      <c r="E66" s="14" t="s">
        <v>137</v>
      </c>
      <c r="F66" s="14">
        <v>4</v>
      </c>
      <c r="G66" s="14">
        <v>0</v>
      </c>
      <c r="H66" s="19"/>
      <c r="I66" s="13"/>
    </row>
    <row r="67" spans="1:9" ht="15" customHeight="1" x14ac:dyDescent="0.45">
      <c r="A67" s="13" t="s">
        <v>42</v>
      </c>
      <c r="B67" s="14">
        <v>8</v>
      </c>
      <c r="C67" s="13" t="s">
        <v>205</v>
      </c>
      <c r="D67" s="14" t="s">
        <v>136</v>
      </c>
      <c r="E67" s="14" t="s">
        <v>137</v>
      </c>
      <c r="F67" s="14">
        <v>8</v>
      </c>
      <c r="G67" s="14">
        <v>0</v>
      </c>
      <c r="H67" s="19"/>
      <c r="I67" s="13"/>
    </row>
    <row r="68" spans="1:9" ht="15" customHeight="1" x14ac:dyDescent="0.45">
      <c r="A68" s="13" t="s">
        <v>42</v>
      </c>
      <c r="B68" s="14">
        <v>8</v>
      </c>
      <c r="C68" s="13" t="s">
        <v>206</v>
      </c>
      <c r="D68" s="14" t="s">
        <v>136</v>
      </c>
      <c r="E68" s="14" t="s">
        <v>137</v>
      </c>
      <c r="F68" s="14">
        <v>4</v>
      </c>
      <c r="G68" s="14">
        <v>0</v>
      </c>
      <c r="H68" s="19"/>
      <c r="I68" s="13"/>
    </row>
    <row r="69" spans="1:9" ht="15" customHeight="1" x14ac:dyDescent="0.45">
      <c r="A69" s="13" t="s">
        <v>42</v>
      </c>
      <c r="B69" s="14">
        <v>8</v>
      </c>
      <c r="C69" s="13" t="s">
        <v>207</v>
      </c>
      <c r="D69" s="14" t="s">
        <v>136</v>
      </c>
      <c r="E69" s="14" t="s">
        <v>137</v>
      </c>
      <c r="F69" s="14">
        <v>4</v>
      </c>
      <c r="G69" s="14">
        <v>0</v>
      </c>
      <c r="H69" s="19"/>
      <c r="I69" s="13"/>
    </row>
    <row r="70" spans="1:9" ht="15" customHeight="1" x14ac:dyDescent="0.45">
      <c r="A70" s="13" t="s">
        <v>42</v>
      </c>
      <c r="B70" s="14">
        <v>9</v>
      </c>
      <c r="C70" s="13" t="s">
        <v>208</v>
      </c>
      <c r="D70" s="14" t="s">
        <v>136</v>
      </c>
      <c r="E70" s="14" t="s">
        <v>137</v>
      </c>
      <c r="F70" s="14">
        <v>6</v>
      </c>
      <c r="G70" s="14">
        <v>0</v>
      </c>
      <c r="H70" s="19"/>
      <c r="I70" s="13"/>
    </row>
    <row r="71" spans="1:9" ht="15" customHeight="1" x14ac:dyDescent="0.45">
      <c r="A71" s="13" t="s">
        <v>42</v>
      </c>
      <c r="B71" s="14">
        <v>9</v>
      </c>
      <c r="C71" s="13" t="s">
        <v>209</v>
      </c>
      <c r="D71" s="14" t="s">
        <v>136</v>
      </c>
      <c r="E71" s="14" t="s">
        <v>137</v>
      </c>
      <c r="F71" s="14">
        <v>6</v>
      </c>
      <c r="G71" s="14">
        <v>0</v>
      </c>
      <c r="H71" s="19"/>
      <c r="I71" s="13"/>
    </row>
    <row r="72" spans="1:9" ht="15" customHeight="1" x14ac:dyDescent="0.45">
      <c r="A72" s="13" t="s">
        <v>42</v>
      </c>
      <c r="B72" s="14">
        <v>9</v>
      </c>
      <c r="C72" s="13" t="s">
        <v>210</v>
      </c>
      <c r="D72" s="14" t="s">
        <v>155</v>
      </c>
      <c r="E72" s="14" t="s">
        <v>137</v>
      </c>
      <c r="F72" s="14">
        <v>1</v>
      </c>
      <c r="G72" s="14">
        <v>0</v>
      </c>
      <c r="H72" s="19"/>
      <c r="I72" s="13"/>
    </row>
    <row r="73" spans="1:9" ht="15" customHeight="1" x14ac:dyDescent="0.45">
      <c r="A73" s="13" t="s">
        <v>42</v>
      </c>
      <c r="B73" s="14">
        <v>9</v>
      </c>
      <c r="C73" s="13" t="s">
        <v>211</v>
      </c>
      <c r="D73" s="14" t="s">
        <v>136</v>
      </c>
      <c r="E73" s="14" t="s">
        <v>137</v>
      </c>
      <c r="F73" s="14">
        <v>0.5</v>
      </c>
      <c r="G73" s="14">
        <v>0</v>
      </c>
      <c r="H73" s="19"/>
      <c r="I73" s="13"/>
    </row>
    <row r="74" spans="1:9" ht="15" customHeight="1" x14ac:dyDescent="0.45">
      <c r="A74" s="13" t="s">
        <v>42</v>
      </c>
      <c r="B74" s="14">
        <v>9</v>
      </c>
      <c r="C74" s="13" t="s">
        <v>212</v>
      </c>
      <c r="D74" s="14" t="s">
        <v>155</v>
      </c>
      <c r="E74" s="14" t="s">
        <v>137</v>
      </c>
      <c r="F74" s="14">
        <v>1</v>
      </c>
      <c r="G74" s="14">
        <v>0</v>
      </c>
      <c r="H74" s="19"/>
      <c r="I74" s="13"/>
    </row>
    <row r="75" spans="1:9" ht="15" customHeight="1" x14ac:dyDescent="0.45">
      <c r="A75" s="13" t="s">
        <v>45</v>
      </c>
      <c r="B75" s="14">
        <v>10</v>
      </c>
      <c r="C75" s="13" t="s">
        <v>213</v>
      </c>
      <c r="D75" s="14" t="s">
        <v>136</v>
      </c>
      <c r="E75" s="14" t="s">
        <v>137</v>
      </c>
      <c r="F75" s="14">
        <v>8</v>
      </c>
      <c r="G75" s="14">
        <v>0</v>
      </c>
      <c r="H75" s="19"/>
      <c r="I75" s="13"/>
    </row>
    <row r="76" spans="1:9" ht="15" customHeight="1" x14ac:dyDescent="0.45">
      <c r="A76" s="13" t="s">
        <v>45</v>
      </c>
      <c r="B76" s="14">
        <v>10</v>
      </c>
      <c r="C76" s="13" t="s">
        <v>214</v>
      </c>
      <c r="D76" s="14" t="s">
        <v>136</v>
      </c>
      <c r="E76" s="14" t="s">
        <v>137</v>
      </c>
      <c r="F76" s="14">
        <v>6</v>
      </c>
      <c r="G76" s="14">
        <v>0</v>
      </c>
      <c r="H76" s="19"/>
      <c r="I76" s="13"/>
    </row>
    <row r="77" spans="1:9" ht="15" customHeight="1" x14ac:dyDescent="0.45">
      <c r="A77" s="13" t="s">
        <v>45</v>
      </c>
      <c r="B77" s="14">
        <v>10</v>
      </c>
      <c r="C77" s="13" t="s">
        <v>215</v>
      </c>
      <c r="D77" s="14" t="s">
        <v>136</v>
      </c>
      <c r="E77" s="14" t="s">
        <v>137</v>
      </c>
      <c r="F77" s="14">
        <v>6</v>
      </c>
      <c r="G77" s="14">
        <v>0</v>
      </c>
      <c r="H77" s="19"/>
      <c r="I77" s="13"/>
    </row>
    <row r="78" spans="1:9" ht="15" customHeight="1" x14ac:dyDescent="0.45">
      <c r="A78" s="13" t="s">
        <v>45</v>
      </c>
      <c r="B78" s="14">
        <v>10</v>
      </c>
      <c r="C78" s="13" t="s">
        <v>216</v>
      </c>
      <c r="D78" s="14" t="s">
        <v>136</v>
      </c>
      <c r="E78" s="14" t="s">
        <v>137</v>
      </c>
      <c r="F78" s="14">
        <v>6</v>
      </c>
      <c r="G78" s="14">
        <v>0</v>
      </c>
      <c r="H78" s="19"/>
      <c r="I78" s="13"/>
    </row>
    <row r="79" spans="1:9" ht="15" customHeight="1" x14ac:dyDescent="0.45">
      <c r="A79" s="13" t="s">
        <v>45</v>
      </c>
      <c r="B79" s="14">
        <v>11</v>
      </c>
      <c r="C79" s="13" t="s">
        <v>217</v>
      </c>
      <c r="D79" s="14" t="s">
        <v>136</v>
      </c>
      <c r="E79" s="14" t="s">
        <v>137</v>
      </c>
      <c r="F79" s="14">
        <v>8</v>
      </c>
      <c r="G79" s="14">
        <v>0</v>
      </c>
      <c r="H79" s="19"/>
      <c r="I79" s="13"/>
    </row>
    <row r="80" spans="1:9" ht="15" customHeight="1" x14ac:dyDescent="0.45">
      <c r="A80" s="13" t="s">
        <v>45</v>
      </c>
      <c r="B80" s="14">
        <v>11</v>
      </c>
      <c r="C80" s="13" t="s">
        <v>218</v>
      </c>
      <c r="D80" s="14" t="s">
        <v>136</v>
      </c>
      <c r="E80" s="14" t="s">
        <v>137</v>
      </c>
      <c r="F80" s="14">
        <v>6</v>
      </c>
      <c r="G80" s="14">
        <v>0</v>
      </c>
      <c r="H80" s="19"/>
      <c r="I80" s="13"/>
    </row>
    <row r="81" spans="1:9" ht="23.25" customHeight="1" x14ac:dyDescent="0.45">
      <c r="A81" s="13" t="s">
        <v>45</v>
      </c>
      <c r="B81" s="14">
        <v>11</v>
      </c>
      <c r="C81" s="13" t="s">
        <v>219</v>
      </c>
      <c r="D81" s="14" t="s">
        <v>151</v>
      </c>
      <c r="E81" s="14" t="s">
        <v>137</v>
      </c>
      <c r="F81" s="14">
        <v>6</v>
      </c>
      <c r="G81" s="14">
        <v>0</v>
      </c>
      <c r="H81" s="19"/>
      <c r="I81" s="13"/>
    </row>
    <row r="82" spans="1:9" ht="15" customHeight="1" x14ac:dyDescent="0.45">
      <c r="A82" s="13" t="s">
        <v>45</v>
      </c>
      <c r="B82" s="14">
        <v>11</v>
      </c>
      <c r="C82" s="13" t="s">
        <v>220</v>
      </c>
      <c r="D82" s="14" t="s">
        <v>136</v>
      </c>
      <c r="E82" s="14" t="s">
        <v>137</v>
      </c>
      <c r="F82" s="14">
        <v>0.5</v>
      </c>
      <c r="G82" s="14">
        <v>0</v>
      </c>
      <c r="H82" s="19"/>
      <c r="I82" s="13"/>
    </row>
    <row r="83" spans="1:9" ht="15" customHeight="1" x14ac:dyDescent="0.45">
      <c r="A83" s="13" t="s">
        <v>45</v>
      </c>
      <c r="B83" s="14">
        <v>11</v>
      </c>
      <c r="C83" s="13" t="s">
        <v>221</v>
      </c>
      <c r="D83" s="14" t="s">
        <v>155</v>
      </c>
      <c r="E83" s="14" t="s">
        <v>137</v>
      </c>
      <c r="F83" s="14">
        <v>1</v>
      </c>
      <c r="G83" s="14">
        <v>0</v>
      </c>
      <c r="H83" s="19"/>
      <c r="I83" s="13"/>
    </row>
    <row r="84" spans="1:9" ht="15" customHeight="1" x14ac:dyDescent="0.45">
      <c r="A84" s="13" t="s">
        <v>48</v>
      </c>
      <c r="B84" s="14">
        <v>12</v>
      </c>
      <c r="C84" s="13" t="s">
        <v>222</v>
      </c>
      <c r="D84" s="14" t="s">
        <v>136</v>
      </c>
      <c r="E84" s="14" t="s">
        <v>137</v>
      </c>
      <c r="F84" s="14">
        <v>6</v>
      </c>
      <c r="G84" s="14">
        <v>0</v>
      </c>
      <c r="H84" s="19"/>
      <c r="I84" s="13"/>
    </row>
    <row r="85" spans="1:9" ht="15" customHeight="1" x14ac:dyDescent="0.45">
      <c r="A85" s="13" t="s">
        <v>48</v>
      </c>
      <c r="B85" s="14">
        <v>12</v>
      </c>
      <c r="C85" s="13" t="s">
        <v>223</v>
      </c>
      <c r="D85" s="14" t="s">
        <v>136</v>
      </c>
      <c r="E85" s="14" t="s">
        <v>137</v>
      </c>
      <c r="F85" s="14">
        <v>8</v>
      </c>
      <c r="G85" s="14">
        <v>0</v>
      </c>
      <c r="H85" s="19"/>
      <c r="I85" s="13"/>
    </row>
    <row r="86" spans="1:9" ht="15" customHeight="1" x14ac:dyDescent="0.45">
      <c r="A86" s="13" t="s">
        <v>48</v>
      </c>
      <c r="B86" s="14">
        <v>12</v>
      </c>
      <c r="C86" s="13" t="s">
        <v>224</v>
      </c>
      <c r="D86" s="14" t="s">
        <v>136</v>
      </c>
      <c r="E86" s="14" t="s">
        <v>137</v>
      </c>
      <c r="F86" s="14">
        <v>8</v>
      </c>
      <c r="G86" s="14">
        <v>0</v>
      </c>
      <c r="H86" s="19"/>
      <c r="I86" s="13"/>
    </row>
    <row r="87" spans="1:9" ht="15" customHeight="1" x14ac:dyDescent="0.45">
      <c r="A87" s="13" t="s">
        <v>48</v>
      </c>
      <c r="B87" s="14">
        <v>12</v>
      </c>
      <c r="C87" s="13" t="s">
        <v>225</v>
      </c>
      <c r="D87" s="14" t="s">
        <v>136</v>
      </c>
      <c r="E87" s="14" t="s">
        <v>137</v>
      </c>
      <c r="F87" s="14">
        <v>4</v>
      </c>
      <c r="G87" s="14">
        <v>0</v>
      </c>
      <c r="H87" s="19"/>
      <c r="I87" s="13"/>
    </row>
    <row r="88" spans="1:9" ht="23.25" customHeight="1" x14ac:dyDescent="0.45">
      <c r="A88" s="13" t="s">
        <v>48</v>
      </c>
      <c r="B88" s="14">
        <v>13</v>
      </c>
      <c r="C88" s="13" t="s">
        <v>226</v>
      </c>
      <c r="D88" s="14" t="s">
        <v>151</v>
      </c>
      <c r="E88" s="14" t="s">
        <v>137</v>
      </c>
      <c r="F88" s="14">
        <v>8</v>
      </c>
      <c r="G88" s="14">
        <v>0</v>
      </c>
      <c r="H88" s="19"/>
      <c r="I88" s="13"/>
    </row>
    <row r="89" spans="1:9" ht="15" customHeight="1" x14ac:dyDescent="0.45">
      <c r="A89" s="13" t="s">
        <v>48</v>
      </c>
      <c r="B89" s="14">
        <v>13</v>
      </c>
      <c r="C89" s="13" t="s">
        <v>227</v>
      </c>
      <c r="D89" s="14" t="s">
        <v>155</v>
      </c>
      <c r="E89" s="14" t="s">
        <v>137</v>
      </c>
      <c r="F89" s="14">
        <v>0.25</v>
      </c>
      <c r="G89" s="14">
        <v>0</v>
      </c>
      <c r="H89" s="19"/>
      <c r="I89" s="13"/>
    </row>
    <row r="90" spans="1:9" ht="15" customHeight="1" x14ac:dyDescent="0.45">
      <c r="A90" s="13" t="s">
        <v>48</v>
      </c>
      <c r="B90" s="14">
        <v>13</v>
      </c>
      <c r="C90" s="13" t="s">
        <v>228</v>
      </c>
      <c r="D90" s="14" t="s">
        <v>136</v>
      </c>
      <c r="E90" s="14" t="s">
        <v>137</v>
      </c>
      <c r="F90" s="14">
        <v>6</v>
      </c>
      <c r="G90" s="14">
        <v>0</v>
      </c>
      <c r="H90" s="19"/>
      <c r="I90" s="13"/>
    </row>
    <row r="91" spans="1:9" ht="15" customHeight="1" x14ac:dyDescent="0.45">
      <c r="A91" s="13" t="s">
        <v>48</v>
      </c>
      <c r="B91" s="14">
        <v>13</v>
      </c>
      <c r="C91" s="13" t="s">
        <v>229</v>
      </c>
      <c r="D91" s="14" t="s">
        <v>136</v>
      </c>
      <c r="E91" s="14" t="s">
        <v>137</v>
      </c>
      <c r="F91" s="14">
        <v>0.5</v>
      </c>
      <c r="G91" s="14">
        <v>0</v>
      </c>
      <c r="H91" s="19"/>
      <c r="I91" s="13"/>
    </row>
    <row r="92" spans="1:9" ht="15" customHeight="1" x14ac:dyDescent="0.45">
      <c r="A92" s="13" t="s">
        <v>48</v>
      </c>
      <c r="B92" s="14">
        <v>13</v>
      </c>
      <c r="C92" s="13" t="s">
        <v>230</v>
      </c>
      <c r="D92" s="14" t="s">
        <v>155</v>
      </c>
      <c r="E92" s="14" t="s">
        <v>137</v>
      </c>
      <c r="F92" s="14">
        <v>1</v>
      </c>
      <c r="G92" s="14">
        <v>0</v>
      </c>
      <c r="H92" s="19"/>
      <c r="I92" s="13"/>
    </row>
    <row r="93" spans="1:9" ht="15" customHeight="1" x14ac:dyDescent="0.45">
      <c r="A93" s="13" t="s">
        <v>51</v>
      </c>
      <c r="B93" s="14">
        <v>14</v>
      </c>
      <c r="C93" s="13" t="s">
        <v>231</v>
      </c>
      <c r="D93" s="14" t="s">
        <v>136</v>
      </c>
      <c r="E93" s="14" t="s">
        <v>137</v>
      </c>
      <c r="F93" s="14">
        <v>10</v>
      </c>
      <c r="G93" s="14">
        <v>0</v>
      </c>
      <c r="H93" s="19"/>
      <c r="I93" s="13"/>
    </row>
    <row r="94" spans="1:9" ht="15" customHeight="1" x14ac:dyDescent="0.45">
      <c r="A94" s="13" t="s">
        <v>51</v>
      </c>
      <c r="B94" s="14">
        <v>14</v>
      </c>
      <c r="C94" s="13" t="s">
        <v>232</v>
      </c>
      <c r="D94" s="14" t="s">
        <v>151</v>
      </c>
      <c r="E94" s="14" t="s">
        <v>137</v>
      </c>
      <c r="F94" s="14">
        <v>6</v>
      </c>
      <c r="G94" s="14">
        <v>0</v>
      </c>
      <c r="H94" s="19"/>
      <c r="I94" s="13"/>
    </row>
    <row r="95" spans="1:9" ht="15" customHeight="1" x14ac:dyDescent="0.45">
      <c r="A95" s="13" t="s">
        <v>51</v>
      </c>
      <c r="B95" s="14">
        <v>14</v>
      </c>
      <c r="C95" s="13" t="s">
        <v>233</v>
      </c>
      <c r="D95" s="14" t="s">
        <v>155</v>
      </c>
      <c r="E95" s="14" t="s">
        <v>137</v>
      </c>
      <c r="F95" s="14">
        <v>8</v>
      </c>
      <c r="G95" s="14">
        <v>0</v>
      </c>
      <c r="H95" s="19"/>
      <c r="I95" s="13"/>
    </row>
    <row r="96" spans="1:9" ht="15" customHeight="1" x14ac:dyDescent="0.45">
      <c r="A96" s="13" t="s">
        <v>51</v>
      </c>
      <c r="B96" s="14">
        <v>14</v>
      </c>
      <c r="C96" s="13" t="s">
        <v>234</v>
      </c>
      <c r="D96" s="14" t="s">
        <v>155</v>
      </c>
      <c r="E96" s="14" t="s">
        <v>137</v>
      </c>
      <c r="F96" s="14">
        <v>0.5</v>
      </c>
      <c r="G96" s="14">
        <v>0</v>
      </c>
      <c r="H96" s="19"/>
      <c r="I96" s="13"/>
    </row>
    <row r="97" spans="1:9" ht="15" customHeight="1" x14ac:dyDescent="0.45">
      <c r="A97" s="13" t="s">
        <v>51</v>
      </c>
      <c r="B97" s="14">
        <v>15</v>
      </c>
      <c r="C97" s="13" t="s">
        <v>235</v>
      </c>
      <c r="D97" s="14" t="s">
        <v>136</v>
      </c>
      <c r="E97" s="14" t="s">
        <v>137</v>
      </c>
      <c r="F97" s="14">
        <v>6</v>
      </c>
      <c r="G97" s="14">
        <v>0</v>
      </c>
      <c r="H97" s="19"/>
      <c r="I97" s="13"/>
    </row>
    <row r="98" spans="1:9" ht="23.25" customHeight="1" x14ac:dyDescent="0.45">
      <c r="A98" s="13" t="s">
        <v>51</v>
      </c>
      <c r="B98" s="14">
        <v>15</v>
      </c>
      <c r="C98" s="13" t="s">
        <v>236</v>
      </c>
      <c r="D98" s="14" t="s">
        <v>136</v>
      </c>
      <c r="E98" s="14" t="s">
        <v>137</v>
      </c>
      <c r="F98" s="14">
        <v>8</v>
      </c>
      <c r="G98" s="14">
        <v>0</v>
      </c>
      <c r="H98" s="19"/>
      <c r="I98" s="13"/>
    </row>
    <row r="99" spans="1:9" ht="15" customHeight="1" x14ac:dyDescent="0.45">
      <c r="A99" s="13" t="s">
        <v>51</v>
      </c>
      <c r="B99" s="14">
        <v>15</v>
      </c>
      <c r="C99" s="13" t="s">
        <v>237</v>
      </c>
      <c r="D99" s="14" t="s">
        <v>136</v>
      </c>
      <c r="E99" s="14" t="s">
        <v>137</v>
      </c>
      <c r="F99" s="14">
        <v>8</v>
      </c>
      <c r="G99" s="14">
        <v>0</v>
      </c>
      <c r="H99" s="19"/>
      <c r="I99" s="13"/>
    </row>
    <row r="100" spans="1:9" ht="15" customHeight="1" x14ac:dyDescent="0.45">
      <c r="A100" s="13" t="s">
        <v>51</v>
      </c>
      <c r="B100" s="14">
        <v>15</v>
      </c>
      <c r="C100" s="13" t="s">
        <v>238</v>
      </c>
      <c r="D100" s="14" t="s">
        <v>136</v>
      </c>
      <c r="E100" s="14" t="s">
        <v>137</v>
      </c>
      <c r="F100" s="14">
        <v>1</v>
      </c>
      <c r="G100" s="14">
        <v>0</v>
      </c>
      <c r="H100" s="19"/>
      <c r="I100" s="13"/>
    </row>
    <row r="101" spans="1:9" ht="15" customHeight="1" x14ac:dyDescent="0.45">
      <c r="A101" s="13" t="s">
        <v>51</v>
      </c>
      <c r="B101" s="14">
        <v>15</v>
      </c>
      <c r="C101" s="13" t="s">
        <v>239</v>
      </c>
      <c r="D101" s="14" t="s">
        <v>147</v>
      </c>
      <c r="E101" s="14" t="s">
        <v>137</v>
      </c>
      <c r="F101" s="14">
        <v>4</v>
      </c>
      <c r="G101" s="14">
        <v>0</v>
      </c>
      <c r="H101" s="19"/>
      <c r="I101" s="13"/>
    </row>
    <row r="102" spans="1:9" ht="15" customHeight="1" x14ac:dyDescent="0.45">
      <c r="A102" s="13" t="s">
        <v>51</v>
      </c>
      <c r="B102" s="14">
        <v>15</v>
      </c>
      <c r="C102" s="13" t="s">
        <v>240</v>
      </c>
      <c r="D102" s="14" t="s">
        <v>136</v>
      </c>
      <c r="E102" s="14" t="s">
        <v>137</v>
      </c>
      <c r="F102" s="14">
        <v>0.5</v>
      </c>
      <c r="G102" s="14">
        <v>0</v>
      </c>
      <c r="H102" s="19"/>
      <c r="I102" s="13"/>
    </row>
    <row r="103" spans="1:9" ht="15" customHeight="1" x14ac:dyDescent="0.45">
      <c r="A103" s="13" t="s">
        <v>51</v>
      </c>
      <c r="B103" s="14">
        <v>15</v>
      </c>
      <c r="C103" s="13" t="s">
        <v>241</v>
      </c>
      <c r="D103" s="14" t="s">
        <v>155</v>
      </c>
      <c r="E103" s="14" t="s">
        <v>137</v>
      </c>
      <c r="F103" s="14">
        <v>1</v>
      </c>
      <c r="G103" s="14">
        <v>0</v>
      </c>
      <c r="H103" s="19"/>
      <c r="I103" s="13"/>
    </row>
    <row r="104" spans="1:9" ht="15" customHeight="1" x14ac:dyDescent="0.45">
      <c r="A104" s="13" t="s">
        <v>53</v>
      </c>
      <c r="B104" s="14">
        <v>16</v>
      </c>
      <c r="C104" s="13" t="s">
        <v>242</v>
      </c>
      <c r="D104" s="14" t="s">
        <v>155</v>
      </c>
      <c r="E104" s="14" t="s">
        <v>137</v>
      </c>
      <c r="F104" s="14">
        <v>8</v>
      </c>
      <c r="G104" s="14">
        <v>0</v>
      </c>
      <c r="H104" s="19"/>
      <c r="I104" s="13"/>
    </row>
    <row r="105" spans="1:9" ht="15" customHeight="1" x14ac:dyDescent="0.45">
      <c r="A105" s="13" t="s">
        <v>53</v>
      </c>
      <c r="B105" s="14">
        <v>16</v>
      </c>
      <c r="C105" s="13" t="s">
        <v>243</v>
      </c>
      <c r="D105" s="14" t="s">
        <v>136</v>
      </c>
      <c r="E105" s="14" t="s">
        <v>137</v>
      </c>
      <c r="F105" s="14">
        <v>1</v>
      </c>
      <c r="G105" s="14">
        <v>0</v>
      </c>
      <c r="H105" s="19"/>
      <c r="I105" s="13"/>
    </row>
    <row r="106" spans="1:9" ht="15" customHeight="1" x14ac:dyDescent="0.45">
      <c r="A106" s="13" t="s">
        <v>53</v>
      </c>
      <c r="B106" s="14">
        <v>16</v>
      </c>
      <c r="C106" s="13" t="s">
        <v>244</v>
      </c>
      <c r="D106" s="14" t="s">
        <v>155</v>
      </c>
      <c r="E106" s="14" t="s">
        <v>137</v>
      </c>
      <c r="F106" s="14">
        <v>6</v>
      </c>
      <c r="G106" s="14">
        <v>0</v>
      </c>
      <c r="H106" s="19"/>
      <c r="I106" s="13"/>
    </row>
    <row r="107" spans="1:9" ht="15" customHeight="1" x14ac:dyDescent="0.45">
      <c r="A107" s="13" t="s">
        <v>53</v>
      </c>
      <c r="B107" s="14">
        <v>16</v>
      </c>
      <c r="C107" s="13" t="s">
        <v>245</v>
      </c>
      <c r="D107" s="14" t="s">
        <v>155</v>
      </c>
      <c r="E107" s="14" t="s">
        <v>137</v>
      </c>
      <c r="F107" s="14">
        <v>4</v>
      </c>
      <c r="G107" s="14">
        <v>0</v>
      </c>
      <c r="H107" s="19"/>
      <c r="I107" s="13"/>
    </row>
    <row r="108" spans="1:9" ht="23.25" customHeight="1" x14ac:dyDescent="0.45">
      <c r="A108" s="13" t="s">
        <v>53</v>
      </c>
      <c r="B108" s="14">
        <v>16</v>
      </c>
      <c r="C108" s="13" t="s">
        <v>246</v>
      </c>
      <c r="D108" s="14" t="s">
        <v>155</v>
      </c>
      <c r="E108" s="14" t="s">
        <v>137</v>
      </c>
      <c r="F108" s="14">
        <v>8</v>
      </c>
      <c r="G108" s="14">
        <v>0</v>
      </c>
      <c r="H108" s="19"/>
      <c r="I108" s="13"/>
    </row>
    <row r="109" spans="1:9" ht="15" customHeight="1" x14ac:dyDescent="0.45">
      <c r="A109" s="13" t="s">
        <v>53</v>
      </c>
      <c r="B109" s="14">
        <v>17</v>
      </c>
      <c r="C109" s="13" t="s">
        <v>247</v>
      </c>
      <c r="D109" s="14" t="s">
        <v>155</v>
      </c>
      <c r="E109" s="14" t="s">
        <v>137</v>
      </c>
      <c r="F109" s="14">
        <v>4</v>
      </c>
      <c r="G109" s="14">
        <v>0</v>
      </c>
      <c r="H109" s="19"/>
      <c r="I109" s="13"/>
    </row>
    <row r="110" spans="1:9" ht="15" customHeight="1" x14ac:dyDescent="0.45">
      <c r="A110" s="13" t="s">
        <v>53</v>
      </c>
      <c r="B110" s="14">
        <v>17</v>
      </c>
      <c r="C110" s="13" t="s">
        <v>248</v>
      </c>
      <c r="D110" s="14" t="s">
        <v>136</v>
      </c>
      <c r="E110" s="14" t="s">
        <v>137</v>
      </c>
      <c r="F110" s="14">
        <v>2</v>
      </c>
      <c r="G110" s="14">
        <v>0</v>
      </c>
      <c r="H110" s="19"/>
      <c r="I110" s="13"/>
    </row>
    <row r="111" spans="1:9" ht="23.25" customHeight="1" x14ac:dyDescent="0.45">
      <c r="A111" s="13" t="s">
        <v>53</v>
      </c>
      <c r="B111" s="14">
        <v>17</v>
      </c>
      <c r="C111" s="13" t="s">
        <v>249</v>
      </c>
      <c r="D111" s="14" t="s">
        <v>136</v>
      </c>
      <c r="E111" s="14" t="s">
        <v>137</v>
      </c>
      <c r="F111" s="14">
        <v>6</v>
      </c>
      <c r="G111" s="14">
        <v>0</v>
      </c>
      <c r="H111" s="19"/>
      <c r="I111" s="13"/>
    </row>
    <row r="112" spans="1:9" ht="15" customHeight="1" x14ac:dyDescent="0.45">
      <c r="A112" s="13" t="s">
        <v>53</v>
      </c>
      <c r="B112" s="14">
        <v>17</v>
      </c>
      <c r="C112" s="13" t="s">
        <v>250</v>
      </c>
      <c r="D112" s="14" t="s">
        <v>136</v>
      </c>
      <c r="E112" s="14" t="s">
        <v>137</v>
      </c>
      <c r="F112" s="14">
        <v>4</v>
      </c>
      <c r="G112" s="14">
        <v>0</v>
      </c>
      <c r="H112" s="19"/>
      <c r="I112" s="13"/>
    </row>
    <row r="113" spans="1:9" ht="15" customHeight="1" x14ac:dyDescent="0.45">
      <c r="A113" s="13" t="s">
        <v>53</v>
      </c>
      <c r="B113" s="14">
        <v>17</v>
      </c>
      <c r="C113" s="13" t="s">
        <v>251</v>
      </c>
      <c r="D113" s="14" t="s">
        <v>136</v>
      </c>
      <c r="E113" s="14" t="s">
        <v>137</v>
      </c>
      <c r="F113" s="14">
        <v>0.5</v>
      </c>
      <c r="G113" s="14">
        <v>0</v>
      </c>
      <c r="H113" s="19"/>
      <c r="I113" s="13"/>
    </row>
  </sheetData>
  <conditionalFormatting sqref="D2:D113">
    <cfRule type="cellIs" dxfId="27" priority="6" operator="equal">
      <formula>"Tier A"</formula>
    </cfRule>
    <cfRule type="cellIs" dxfId="26" priority="7" operator="equal">
      <formula>"Tier B"</formula>
    </cfRule>
  </conditionalFormatting>
  <conditionalFormatting sqref="E2:E113">
    <cfRule type="cellIs" dxfId="25" priority="2" operator="equal">
      <formula>"Done"</formula>
    </cfRule>
    <cfRule type="cellIs" dxfId="24" priority="3" operator="equal">
      <formula>"Doing"</formula>
    </cfRule>
    <cfRule type="cellIs" dxfId="23" priority="4" operator="equal">
      <formula>"Blocked"</formula>
    </cfRule>
    <cfRule type="cellIs" dxfId="22" priority="5" operator="equal">
      <formula>"Skipped"</formula>
    </cfRule>
  </conditionalFormatting>
  <dataValidations count="2">
    <dataValidation type="list" allowBlank="1" sqref="E2:E113" xr:uid="{00000000-0002-0000-0300-000000000000}">
      <formula1>"Todo,Doing,Done,Skipped,Blocked"</formula1>
      <formula2>0</formula2>
    </dataValidation>
    <dataValidation type="list" allowBlank="1" sqref="D2:D113" xr:uid="{00000000-0002-0000-0300-000001000000}">
      <formula1>"Core,Tier A,Tier B,Tier C"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5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25" x14ac:dyDescent="0.45"/>
  <cols>
    <col min="1" max="1" width="5" customWidth="1"/>
    <col min="2" max="2" width="50" customWidth="1"/>
    <col min="3" max="3" width="18" customWidth="1"/>
    <col min="4" max="5" width="10" customWidth="1"/>
    <col min="6" max="6" width="12" customWidth="1"/>
    <col min="7" max="7" width="10" customWidth="1"/>
    <col min="8" max="8" width="14" customWidth="1"/>
    <col min="9" max="9" width="30" customWidth="1"/>
  </cols>
  <sheetData>
    <row r="1" spans="1:9" ht="15" customHeight="1" x14ac:dyDescent="0.45">
      <c r="A1" s="10" t="s">
        <v>252</v>
      </c>
      <c r="B1" s="10" t="s">
        <v>253</v>
      </c>
      <c r="C1" s="10" t="s">
        <v>17</v>
      </c>
      <c r="D1" s="10" t="s">
        <v>254</v>
      </c>
      <c r="E1" s="10" t="s">
        <v>83</v>
      </c>
      <c r="F1" s="10" t="s">
        <v>255</v>
      </c>
      <c r="G1" s="10" t="s">
        <v>256</v>
      </c>
      <c r="H1" s="10" t="s">
        <v>257</v>
      </c>
      <c r="I1" s="10" t="s">
        <v>129</v>
      </c>
    </row>
    <row r="2" spans="1:9" ht="15" customHeight="1" x14ac:dyDescent="0.45">
      <c r="A2" s="14">
        <v>1</v>
      </c>
      <c r="B2" s="13" t="s">
        <v>258</v>
      </c>
      <c r="C2" s="14" t="s">
        <v>22</v>
      </c>
      <c r="D2" s="14" t="s">
        <v>259</v>
      </c>
      <c r="E2" s="14" t="s">
        <v>137</v>
      </c>
      <c r="F2" s="19"/>
      <c r="G2" s="14"/>
      <c r="H2" s="14" t="s">
        <v>260</v>
      </c>
      <c r="I2" s="13"/>
    </row>
    <row r="3" spans="1:9" ht="15" customHeight="1" x14ac:dyDescent="0.45">
      <c r="A3" s="14">
        <v>2</v>
      </c>
      <c r="B3" s="13" t="s">
        <v>261</v>
      </c>
      <c r="C3" s="14" t="s">
        <v>22</v>
      </c>
      <c r="D3" s="14" t="s">
        <v>259</v>
      </c>
      <c r="E3" s="14" t="s">
        <v>137</v>
      </c>
      <c r="F3" s="19"/>
      <c r="G3" s="14"/>
      <c r="H3" s="14" t="s">
        <v>260</v>
      </c>
      <c r="I3" s="13"/>
    </row>
    <row r="4" spans="1:9" ht="15" customHeight="1" x14ac:dyDescent="0.45">
      <c r="A4" s="14">
        <v>3</v>
      </c>
      <c r="B4" s="13" t="s">
        <v>262</v>
      </c>
      <c r="C4" s="14" t="s">
        <v>22</v>
      </c>
      <c r="D4" s="14" t="s">
        <v>259</v>
      </c>
      <c r="E4" s="14" t="s">
        <v>137</v>
      </c>
      <c r="F4" s="19"/>
      <c r="G4" s="14"/>
      <c r="H4" s="14" t="s">
        <v>260</v>
      </c>
      <c r="I4" s="13"/>
    </row>
    <row r="5" spans="1:9" ht="15" customHeight="1" x14ac:dyDescent="0.45">
      <c r="A5" s="14">
        <v>4</v>
      </c>
      <c r="B5" s="13" t="s">
        <v>263</v>
      </c>
      <c r="C5" s="14" t="s">
        <v>22</v>
      </c>
      <c r="D5" s="14" t="s">
        <v>264</v>
      </c>
      <c r="E5" s="14" t="s">
        <v>137</v>
      </c>
      <c r="F5" s="19"/>
      <c r="G5" s="14"/>
      <c r="H5" s="14" t="s">
        <v>260</v>
      </c>
      <c r="I5" s="13"/>
    </row>
    <row r="6" spans="1:9" ht="15" customHeight="1" x14ac:dyDescent="0.45">
      <c r="A6" s="14">
        <v>5</v>
      </c>
      <c r="B6" s="13" t="s">
        <v>265</v>
      </c>
      <c r="C6" s="14" t="s">
        <v>22</v>
      </c>
      <c r="D6" s="14" t="s">
        <v>264</v>
      </c>
      <c r="E6" s="14" t="s">
        <v>137</v>
      </c>
      <c r="F6" s="19"/>
      <c r="G6" s="14"/>
      <c r="H6" s="14" t="s">
        <v>260</v>
      </c>
      <c r="I6" s="13"/>
    </row>
    <row r="7" spans="1:9" ht="15" customHeight="1" x14ac:dyDescent="0.45">
      <c r="A7" s="14">
        <v>6</v>
      </c>
      <c r="B7" s="13" t="s">
        <v>266</v>
      </c>
      <c r="C7" s="14" t="s">
        <v>22</v>
      </c>
      <c r="D7" s="14" t="s">
        <v>264</v>
      </c>
      <c r="E7" s="14" t="s">
        <v>137</v>
      </c>
      <c r="F7" s="19"/>
      <c r="G7" s="14"/>
      <c r="H7" s="14" t="s">
        <v>260</v>
      </c>
      <c r="I7" s="13"/>
    </row>
    <row r="8" spans="1:9" ht="15" customHeight="1" x14ac:dyDescent="0.45">
      <c r="A8" s="14">
        <v>7</v>
      </c>
      <c r="B8" s="13" t="s">
        <v>267</v>
      </c>
      <c r="C8" s="14" t="s">
        <v>22</v>
      </c>
      <c r="D8" s="14" t="s">
        <v>264</v>
      </c>
      <c r="E8" s="14" t="s">
        <v>137</v>
      </c>
      <c r="F8" s="19"/>
      <c r="G8" s="14"/>
      <c r="H8" s="14" t="s">
        <v>260</v>
      </c>
      <c r="I8" s="13"/>
    </row>
    <row r="9" spans="1:9" ht="15" customHeight="1" x14ac:dyDescent="0.45">
      <c r="A9" s="14">
        <v>8</v>
      </c>
      <c r="B9" s="13" t="s">
        <v>268</v>
      </c>
      <c r="C9" s="14" t="s">
        <v>22</v>
      </c>
      <c r="D9" s="14" t="s">
        <v>264</v>
      </c>
      <c r="E9" s="14" t="s">
        <v>137</v>
      </c>
      <c r="F9" s="19"/>
      <c r="G9" s="14"/>
      <c r="H9" s="14" t="s">
        <v>260</v>
      </c>
      <c r="I9" s="13"/>
    </row>
    <row r="10" spans="1:9" ht="15" customHeight="1" x14ac:dyDescent="0.45">
      <c r="A10" s="14">
        <v>9</v>
      </c>
      <c r="B10" s="13" t="s">
        <v>269</v>
      </c>
      <c r="C10" s="14" t="s">
        <v>22</v>
      </c>
      <c r="D10" s="14" t="s">
        <v>264</v>
      </c>
      <c r="E10" s="14" t="s">
        <v>137</v>
      </c>
      <c r="F10" s="19"/>
      <c r="G10" s="14"/>
      <c r="H10" s="14" t="s">
        <v>260</v>
      </c>
      <c r="I10" s="13"/>
    </row>
    <row r="11" spans="1:9" ht="15" customHeight="1" x14ac:dyDescent="0.45">
      <c r="A11" s="14">
        <v>10</v>
      </c>
      <c r="B11" s="13" t="s">
        <v>270</v>
      </c>
      <c r="C11" s="14" t="s">
        <v>26</v>
      </c>
      <c r="D11" s="14" t="s">
        <v>259</v>
      </c>
      <c r="E11" s="14" t="s">
        <v>137</v>
      </c>
      <c r="F11" s="19"/>
      <c r="G11" s="14"/>
      <c r="H11" s="14" t="s">
        <v>260</v>
      </c>
      <c r="I11" s="13"/>
    </row>
    <row r="12" spans="1:9" ht="15" customHeight="1" x14ac:dyDescent="0.45">
      <c r="A12" s="14">
        <v>11</v>
      </c>
      <c r="B12" s="13" t="s">
        <v>271</v>
      </c>
      <c r="C12" s="14" t="s">
        <v>26</v>
      </c>
      <c r="D12" s="14" t="s">
        <v>264</v>
      </c>
      <c r="E12" s="14" t="s">
        <v>137</v>
      </c>
      <c r="F12" s="19"/>
      <c r="G12" s="14"/>
      <c r="H12" s="14" t="s">
        <v>260</v>
      </c>
      <c r="I12" s="13"/>
    </row>
    <row r="13" spans="1:9" ht="15" customHeight="1" x14ac:dyDescent="0.45">
      <c r="A13" s="14">
        <v>12</v>
      </c>
      <c r="B13" s="13" t="s">
        <v>272</v>
      </c>
      <c r="C13" s="14" t="s">
        <v>26</v>
      </c>
      <c r="D13" s="14" t="s">
        <v>264</v>
      </c>
      <c r="E13" s="14" t="s">
        <v>137</v>
      </c>
      <c r="F13" s="19"/>
      <c r="G13" s="14"/>
      <c r="H13" s="14" t="s">
        <v>260</v>
      </c>
      <c r="I13" s="13"/>
    </row>
    <row r="14" spans="1:9" ht="15" customHeight="1" x14ac:dyDescent="0.45">
      <c r="A14" s="14">
        <v>13</v>
      </c>
      <c r="B14" s="13" t="s">
        <v>273</v>
      </c>
      <c r="C14" s="14" t="s">
        <v>26</v>
      </c>
      <c r="D14" s="14" t="s">
        <v>264</v>
      </c>
      <c r="E14" s="14" t="s">
        <v>137</v>
      </c>
      <c r="F14" s="19"/>
      <c r="G14" s="14"/>
      <c r="H14" s="14" t="s">
        <v>260</v>
      </c>
      <c r="I14" s="13"/>
    </row>
    <row r="15" spans="1:9" ht="15" customHeight="1" x14ac:dyDescent="0.45">
      <c r="A15" s="14">
        <v>14</v>
      </c>
      <c r="B15" s="13" t="s">
        <v>274</v>
      </c>
      <c r="C15" s="14" t="s">
        <v>26</v>
      </c>
      <c r="D15" s="14" t="s">
        <v>275</v>
      </c>
      <c r="E15" s="14" t="s">
        <v>137</v>
      </c>
      <c r="F15" s="19"/>
      <c r="G15" s="14"/>
      <c r="H15" s="14" t="s">
        <v>260</v>
      </c>
      <c r="I15" s="13"/>
    </row>
    <row r="16" spans="1:9" ht="15" customHeight="1" x14ac:dyDescent="0.45">
      <c r="A16" s="14">
        <v>15</v>
      </c>
      <c r="B16" s="13" t="s">
        <v>276</v>
      </c>
      <c r="C16" s="14" t="s">
        <v>36</v>
      </c>
      <c r="D16" s="14" t="s">
        <v>259</v>
      </c>
      <c r="E16" s="14" t="s">
        <v>137</v>
      </c>
      <c r="F16" s="19"/>
      <c r="G16" s="14"/>
      <c r="H16" s="14" t="s">
        <v>260</v>
      </c>
      <c r="I16" s="13"/>
    </row>
    <row r="17" spans="1:9" ht="15" customHeight="1" x14ac:dyDescent="0.45">
      <c r="A17" s="14">
        <v>16</v>
      </c>
      <c r="B17" s="13" t="s">
        <v>277</v>
      </c>
      <c r="C17" s="14" t="s">
        <v>36</v>
      </c>
      <c r="D17" s="14" t="s">
        <v>264</v>
      </c>
      <c r="E17" s="14" t="s">
        <v>137</v>
      </c>
      <c r="F17" s="19"/>
      <c r="G17" s="14"/>
      <c r="H17" s="14" t="s">
        <v>260</v>
      </c>
      <c r="I17" s="13"/>
    </row>
    <row r="18" spans="1:9" ht="15" customHeight="1" x14ac:dyDescent="0.45">
      <c r="A18" s="14">
        <v>17</v>
      </c>
      <c r="B18" s="13" t="s">
        <v>278</v>
      </c>
      <c r="C18" s="14" t="s">
        <v>36</v>
      </c>
      <c r="D18" s="14" t="s">
        <v>264</v>
      </c>
      <c r="E18" s="14" t="s">
        <v>137</v>
      </c>
      <c r="F18" s="19"/>
      <c r="G18" s="14"/>
      <c r="H18" s="14" t="s">
        <v>260</v>
      </c>
      <c r="I18" s="13"/>
    </row>
    <row r="19" spans="1:9" ht="15" customHeight="1" x14ac:dyDescent="0.45">
      <c r="A19" s="14">
        <v>18</v>
      </c>
      <c r="B19" s="13" t="s">
        <v>279</v>
      </c>
      <c r="C19" s="14" t="s">
        <v>36</v>
      </c>
      <c r="D19" s="14" t="s">
        <v>264</v>
      </c>
      <c r="E19" s="14" t="s">
        <v>137</v>
      </c>
      <c r="F19" s="19"/>
      <c r="G19" s="14"/>
      <c r="H19" s="14" t="s">
        <v>260</v>
      </c>
      <c r="I19" s="13"/>
    </row>
    <row r="20" spans="1:9" ht="15" customHeight="1" x14ac:dyDescent="0.45">
      <c r="A20" s="14">
        <v>19</v>
      </c>
      <c r="B20" s="13" t="s">
        <v>280</v>
      </c>
      <c r="C20" s="14" t="s">
        <v>36</v>
      </c>
      <c r="D20" s="14" t="s">
        <v>275</v>
      </c>
      <c r="E20" s="14" t="s">
        <v>137</v>
      </c>
      <c r="F20" s="19"/>
      <c r="G20" s="14"/>
      <c r="H20" s="14" t="s">
        <v>260</v>
      </c>
      <c r="I20" s="13"/>
    </row>
    <row r="21" spans="1:9" ht="15" customHeight="1" x14ac:dyDescent="0.45">
      <c r="A21" s="14">
        <v>20</v>
      </c>
      <c r="B21" s="13" t="s">
        <v>281</v>
      </c>
      <c r="C21" s="14" t="s">
        <v>36</v>
      </c>
      <c r="D21" s="14" t="s">
        <v>275</v>
      </c>
      <c r="E21" s="14" t="s">
        <v>137</v>
      </c>
      <c r="F21" s="19"/>
      <c r="G21" s="14"/>
      <c r="H21" s="14" t="s">
        <v>260</v>
      </c>
      <c r="I21" s="13"/>
    </row>
    <row r="22" spans="1:9" ht="15" customHeight="1" x14ac:dyDescent="0.45">
      <c r="A22" s="14">
        <v>21</v>
      </c>
      <c r="B22" s="13" t="s">
        <v>282</v>
      </c>
      <c r="C22" s="14" t="s">
        <v>40</v>
      </c>
      <c r="D22" s="14" t="s">
        <v>259</v>
      </c>
      <c r="E22" s="14" t="s">
        <v>137</v>
      </c>
      <c r="F22" s="19"/>
      <c r="G22" s="14"/>
      <c r="H22" s="14" t="s">
        <v>260</v>
      </c>
      <c r="I22" s="13"/>
    </row>
    <row r="23" spans="1:9" ht="15" customHeight="1" x14ac:dyDescent="0.45">
      <c r="A23" s="14">
        <v>22</v>
      </c>
      <c r="B23" s="13" t="s">
        <v>283</v>
      </c>
      <c r="C23" s="14" t="s">
        <v>40</v>
      </c>
      <c r="D23" s="14" t="s">
        <v>264</v>
      </c>
      <c r="E23" s="14" t="s">
        <v>137</v>
      </c>
      <c r="F23" s="19"/>
      <c r="G23" s="14"/>
      <c r="H23" s="14" t="s">
        <v>260</v>
      </c>
      <c r="I23" s="13"/>
    </row>
    <row r="24" spans="1:9" ht="15" customHeight="1" x14ac:dyDescent="0.45">
      <c r="A24" s="14">
        <v>23</v>
      </c>
      <c r="B24" s="13" t="s">
        <v>284</v>
      </c>
      <c r="C24" s="14" t="s">
        <v>40</v>
      </c>
      <c r="D24" s="14" t="s">
        <v>264</v>
      </c>
      <c r="E24" s="14" t="s">
        <v>137</v>
      </c>
      <c r="F24" s="19"/>
      <c r="G24" s="14"/>
      <c r="H24" s="14" t="s">
        <v>260</v>
      </c>
      <c r="I24" s="13"/>
    </row>
    <row r="25" spans="1:9" ht="15" customHeight="1" x14ac:dyDescent="0.45">
      <c r="A25" s="14">
        <v>24</v>
      </c>
      <c r="B25" s="13" t="s">
        <v>285</v>
      </c>
      <c r="C25" s="14" t="s">
        <v>40</v>
      </c>
      <c r="D25" s="14" t="s">
        <v>264</v>
      </c>
      <c r="E25" s="14" t="s">
        <v>137</v>
      </c>
      <c r="F25" s="19"/>
      <c r="G25" s="14"/>
      <c r="H25" s="14" t="s">
        <v>260</v>
      </c>
      <c r="I25" s="13"/>
    </row>
    <row r="26" spans="1:9" ht="15" customHeight="1" x14ac:dyDescent="0.45">
      <c r="A26" s="14">
        <v>25</v>
      </c>
      <c r="B26" s="13" t="s">
        <v>286</v>
      </c>
      <c r="C26" s="14" t="s">
        <v>40</v>
      </c>
      <c r="D26" s="14" t="s">
        <v>264</v>
      </c>
      <c r="E26" s="14" t="s">
        <v>137</v>
      </c>
      <c r="F26" s="19"/>
      <c r="G26" s="14"/>
      <c r="H26" s="14" t="s">
        <v>260</v>
      </c>
      <c r="I26" s="13"/>
    </row>
    <row r="27" spans="1:9" ht="15" customHeight="1" x14ac:dyDescent="0.45">
      <c r="A27" s="14">
        <v>26</v>
      </c>
      <c r="B27" s="13" t="s">
        <v>287</v>
      </c>
      <c r="C27" s="14" t="s">
        <v>40</v>
      </c>
      <c r="D27" s="14" t="s">
        <v>264</v>
      </c>
      <c r="E27" s="14" t="s">
        <v>137</v>
      </c>
      <c r="F27" s="19"/>
      <c r="G27" s="14"/>
      <c r="H27" s="14" t="s">
        <v>260</v>
      </c>
      <c r="I27" s="13"/>
    </row>
    <row r="28" spans="1:9" ht="15" customHeight="1" x14ac:dyDescent="0.45">
      <c r="A28" s="14">
        <v>27</v>
      </c>
      <c r="B28" s="13" t="s">
        <v>288</v>
      </c>
      <c r="C28" s="14" t="s">
        <v>40</v>
      </c>
      <c r="D28" s="14" t="s">
        <v>275</v>
      </c>
      <c r="E28" s="14" t="s">
        <v>137</v>
      </c>
      <c r="F28" s="19"/>
      <c r="G28" s="14"/>
      <c r="H28" s="14" t="s">
        <v>260</v>
      </c>
      <c r="I28" s="13"/>
    </row>
    <row r="29" spans="1:9" ht="15" customHeight="1" x14ac:dyDescent="0.45">
      <c r="A29" s="14">
        <v>28</v>
      </c>
      <c r="B29" s="13" t="s">
        <v>44</v>
      </c>
      <c r="C29" s="14" t="s">
        <v>44</v>
      </c>
      <c r="D29" s="14" t="s">
        <v>259</v>
      </c>
      <c r="E29" s="14" t="s">
        <v>137</v>
      </c>
      <c r="F29" s="19"/>
      <c r="G29" s="14"/>
      <c r="H29" s="14" t="s">
        <v>260</v>
      </c>
      <c r="I29" s="13"/>
    </row>
    <row r="30" spans="1:9" ht="15" customHeight="1" x14ac:dyDescent="0.45">
      <c r="A30" s="14">
        <v>29</v>
      </c>
      <c r="B30" s="13" t="s">
        <v>289</v>
      </c>
      <c r="C30" s="14" t="s">
        <v>44</v>
      </c>
      <c r="D30" s="14" t="s">
        <v>264</v>
      </c>
      <c r="E30" s="14" t="s">
        <v>137</v>
      </c>
      <c r="F30" s="19"/>
      <c r="G30" s="14"/>
      <c r="H30" s="14" t="s">
        <v>260</v>
      </c>
      <c r="I30" s="13"/>
    </row>
    <row r="31" spans="1:9" ht="15" customHeight="1" x14ac:dyDescent="0.45">
      <c r="A31" s="14">
        <v>30</v>
      </c>
      <c r="B31" s="13" t="s">
        <v>290</v>
      </c>
      <c r="C31" s="14" t="s">
        <v>44</v>
      </c>
      <c r="D31" s="14" t="s">
        <v>264</v>
      </c>
      <c r="E31" s="14" t="s">
        <v>137</v>
      </c>
      <c r="F31" s="19"/>
      <c r="G31" s="14"/>
      <c r="H31" s="14" t="s">
        <v>260</v>
      </c>
      <c r="I31" s="13"/>
    </row>
    <row r="32" spans="1:9" ht="15" customHeight="1" x14ac:dyDescent="0.45">
      <c r="A32" s="14">
        <v>31</v>
      </c>
      <c r="B32" s="13" t="s">
        <v>291</v>
      </c>
      <c r="C32" s="14" t="s">
        <v>44</v>
      </c>
      <c r="D32" s="14" t="s">
        <v>264</v>
      </c>
      <c r="E32" s="14" t="s">
        <v>137</v>
      </c>
      <c r="F32" s="19"/>
      <c r="G32" s="14"/>
      <c r="H32" s="14" t="s">
        <v>260</v>
      </c>
      <c r="I32" s="13"/>
    </row>
    <row r="33" spans="1:9" ht="15" customHeight="1" x14ac:dyDescent="0.45">
      <c r="A33" s="14">
        <v>32</v>
      </c>
      <c r="B33" s="13" t="s">
        <v>292</v>
      </c>
      <c r="C33" s="14" t="s">
        <v>44</v>
      </c>
      <c r="D33" s="14" t="s">
        <v>264</v>
      </c>
      <c r="E33" s="14" t="s">
        <v>137</v>
      </c>
      <c r="F33" s="19"/>
      <c r="G33" s="14"/>
      <c r="H33" s="14" t="s">
        <v>260</v>
      </c>
      <c r="I33" s="13"/>
    </row>
    <row r="34" spans="1:9" ht="15" customHeight="1" x14ac:dyDescent="0.45">
      <c r="A34" s="14">
        <v>33</v>
      </c>
      <c r="B34" s="13" t="s">
        <v>293</v>
      </c>
      <c r="C34" s="14" t="s">
        <v>44</v>
      </c>
      <c r="D34" s="14" t="s">
        <v>264</v>
      </c>
      <c r="E34" s="14" t="s">
        <v>137</v>
      </c>
      <c r="F34" s="19"/>
      <c r="G34" s="14"/>
      <c r="H34" s="14" t="s">
        <v>260</v>
      </c>
      <c r="I34" s="13"/>
    </row>
    <row r="35" spans="1:9" ht="15" customHeight="1" x14ac:dyDescent="0.45">
      <c r="A35" s="14">
        <v>34</v>
      </c>
      <c r="B35" s="13" t="s">
        <v>294</v>
      </c>
      <c r="C35" s="14" t="s">
        <v>44</v>
      </c>
      <c r="D35" s="14" t="s">
        <v>275</v>
      </c>
      <c r="E35" s="14" t="s">
        <v>137</v>
      </c>
      <c r="F35" s="19"/>
      <c r="G35" s="14"/>
      <c r="H35" s="14" t="s">
        <v>260</v>
      </c>
      <c r="I35" s="13"/>
    </row>
    <row r="36" spans="1:9" ht="15" customHeight="1" x14ac:dyDescent="0.45">
      <c r="A36" s="14">
        <v>35</v>
      </c>
      <c r="B36" s="13" t="s">
        <v>295</v>
      </c>
      <c r="C36" s="14" t="s">
        <v>47</v>
      </c>
      <c r="D36" s="14" t="s">
        <v>259</v>
      </c>
      <c r="E36" s="14" t="s">
        <v>137</v>
      </c>
      <c r="F36" s="19"/>
      <c r="G36" s="14"/>
      <c r="H36" s="14" t="s">
        <v>260</v>
      </c>
      <c r="I36" s="13"/>
    </row>
    <row r="37" spans="1:9" ht="15" customHeight="1" x14ac:dyDescent="0.45">
      <c r="A37" s="14">
        <v>36</v>
      </c>
      <c r="B37" s="13" t="s">
        <v>296</v>
      </c>
      <c r="C37" s="14" t="s">
        <v>47</v>
      </c>
      <c r="D37" s="14" t="s">
        <v>259</v>
      </c>
      <c r="E37" s="14" t="s">
        <v>137</v>
      </c>
      <c r="F37" s="19"/>
      <c r="G37" s="14"/>
      <c r="H37" s="14" t="s">
        <v>260</v>
      </c>
      <c r="I37" s="13"/>
    </row>
    <row r="38" spans="1:9" ht="15" customHeight="1" x14ac:dyDescent="0.45">
      <c r="A38" s="14">
        <v>37</v>
      </c>
      <c r="B38" s="13" t="s">
        <v>297</v>
      </c>
      <c r="C38" s="14" t="s">
        <v>47</v>
      </c>
      <c r="D38" s="14" t="s">
        <v>264</v>
      </c>
      <c r="E38" s="14" t="s">
        <v>137</v>
      </c>
      <c r="F38" s="19"/>
      <c r="G38" s="14"/>
      <c r="H38" s="14" t="s">
        <v>260</v>
      </c>
      <c r="I38" s="13"/>
    </row>
    <row r="39" spans="1:9" ht="15" customHeight="1" x14ac:dyDescent="0.45">
      <c r="A39" s="14">
        <v>38</v>
      </c>
      <c r="B39" s="13" t="s">
        <v>298</v>
      </c>
      <c r="C39" s="14" t="s">
        <v>47</v>
      </c>
      <c r="D39" s="14" t="s">
        <v>264</v>
      </c>
      <c r="E39" s="14" t="s">
        <v>137</v>
      </c>
      <c r="F39" s="19"/>
      <c r="G39" s="14"/>
      <c r="H39" s="14" t="s">
        <v>260</v>
      </c>
      <c r="I39" s="13"/>
    </row>
    <row r="40" spans="1:9" ht="15" customHeight="1" x14ac:dyDescent="0.45">
      <c r="A40" s="14">
        <v>39</v>
      </c>
      <c r="B40" s="13" t="s">
        <v>299</v>
      </c>
      <c r="C40" s="14" t="s">
        <v>47</v>
      </c>
      <c r="D40" s="14" t="s">
        <v>264</v>
      </c>
      <c r="E40" s="14" t="s">
        <v>137</v>
      </c>
      <c r="F40" s="19"/>
      <c r="G40" s="14"/>
      <c r="H40" s="14" t="s">
        <v>260</v>
      </c>
      <c r="I40" s="13"/>
    </row>
    <row r="41" spans="1:9" ht="15" customHeight="1" x14ac:dyDescent="0.45">
      <c r="A41" s="14">
        <v>40</v>
      </c>
      <c r="B41" s="13" t="s">
        <v>300</v>
      </c>
      <c r="C41" s="14" t="s">
        <v>47</v>
      </c>
      <c r="D41" s="14" t="s">
        <v>264</v>
      </c>
      <c r="E41" s="14" t="s">
        <v>137</v>
      </c>
      <c r="F41" s="19"/>
      <c r="G41" s="14"/>
      <c r="H41" s="14" t="s">
        <v>260</v>
      </c>
      <c r="I41" s="13"/>
    </row>
    <row r="42" spans="1:9" ht="15" customHeight="1" x14ac:dyDescent="0.45">
      <c r="A42" s="14">
        <v>41</v>
      </c>
      <c r="B42" s="13" t="s">
        <v>301</v>
      </c>
      <c r="C42" s="14" t="s">
        <v>47</v>
      </c>
      <c r="D42" s="14" t="s">
        <v>259</v>
      </c>
      <c r="E42" s="14" t="s">
        <v>137</v>
      </c>
      <c r="F42" s="19"/>
      <c r="G42" s="14"/>
      <c r="H42" s="14" t="s">
        <v>260</v>
      </c>
      <c r="I42" s="13"/>
    </row>
    <row r="43" spans="1:9" ht="15" customHeight="1" x14ac:dyDescent="0.45">
      <c r="A43" s="14">
        <v>42</v>
      </c>
      <c r="B43" s="13" t="s">
        <v>302</v>
      </c>
      <c r="C43" s="14" t="s">
        <v>47</v>
      </c>
      <c r="D43" s="14" t="s">
        <v>264</v>
      </c>
      <c r="E43" s="14" t="s">
        <v>137</v>
      </c>
      <c r="F43" s="19"/>
      <c r="G43" s="14"/>
      <c r="H43" s="14" t="s">
        <v>260</v>
      </c>
      <c r="I43" s="13"/>
    </row>
    <row r="44" spans="1:9" ht="15" customHeight="1" x14ac:dyDescent="0.45">
      <c r="A44" s="14">
        <v>43</v>
      </c>
      <c r="B44" s="13" t="s">
        <v>303</v>
      </c>
      <c r="C44" s="14" t="s">
        <v>47</v>
      </c>
      <c r="D44" s="14" t="s">
        <v>264</v>
      </c>
      <c r="E44" s="14" t="s">
        <v>137</v>
      </c>
      <c r="F44" s="19"/>
      <c r="G44" s="14"/>
      <c r="H44" s="14" t="s">
        <v>260</v>
      </c>
      <c r="I44" s="13"/>
    </row>
    <row r="45" spans="1:9" ht="15" customHeight="1" x14ac:dyDescent="0.45">
      <c r="A45" s="14">
        <v>44</v>
      </c>
      <c r="B45" s="13" t="s">
        <v>304</v>
      </c>
      <c r="C45" s="14" t="s">
        <v>47</v>
      </c>
      <c r="D45" s="14" t="s">
        <v>275</v>
      </c>
      <c r="E45" s="14" t="s">
        <v>137</v>
      </c>
      <c r="F45" s="19"/>
      <c r="G45" s="14"/>
      <c r="H45" s="14" t="s">
        <v>260</v>
      </c>
      <c r="I45" s="13"/>
    </row>
    <row r="46" spans="1:9" ht="15" customHeight="1" x14ac:dyDescent="0.45">
      <c r="A46" s="14">
        <v>45</v>
      </c>
      <c r="B46" s="13" t="s">
        <v>305</v>
      </c>
      <c r="C46" s="14" t="s">
        <v>47</v>
      </c>
      <c r="D46" s="14" t="s">
        <v>275</v>
      </c>
      <c r="E46" s="14" t="s">
        <v>137</v>
      </c>
      <c r="F46" s="19"/>
      <c r="G46" s="14"/>
      <c r="H46" s="14" t="s">
        <v>260</v>
      </c>
      <c r="I46" s="13"/>
    </row>
    <row r="47" spans="1:9" ht="15" customHeight="1" x14ac:dyDescent="0.45">
      <c r="A47" s="14">
        <v>46</v>
      </c>
      <c r="B47" s="13" t="s">
        <v>306</v>
      </c>
      <c r="C47" s="14" t="s">
        <v>50</v>
      </c>
      <c r="D47" s="14" t="s">
        <v>259</v>
      </c>
      <c r="E47" s="14" t="s">
        <v>137</v>
      </c>
      <c r="F47" s="19"/>
      <c r="G47" s="14"/>
      <c r="H47" s="14" t="s">
        <v>260</v>
      </c>
      <c r="I47" s="13"/>
    </row>
    <row r="48" spans="1:9" ht="15" customHeight="1" x14ac:dyDescent="0.45">
      <c r="A48" s="14">
        <v>47</v>
      </c>
      <c r="B48" s="13" t="s">
        <v>307</v>
      </c>
      <c r="C48" s="14" t="s">
        <v>50</v>
      </c>
      <c r="D48" s="14" t="s">
        <v>259</v>
      </c>
      <c r="E48" s="14" t="s">
        <v>137</v>
      </c>
      <c r="F48" s="19"/>
      <c r="G48" s="14"/>
      <c r="H48" s="14" t="s">
        <v>260</v>
      </c>
      <c r="I48" s="13"/>
    </row>
    <row r="49" spans="1:9" ht="15" customHeight="1" x14ac:dyDescent="0.45">
      <c r="A49" s="14">
        <v>48</v>
      </c>
      <c r="B49" s="13" t="s">
        <v>308</v>
      </c>
      <c r="C49" s="14" t="s">
        <v>50</v>
      </c>
      <c r="D49" s="14" t="s">
        <v>259</v>
      </c>
      <c r="E49" s="14" t="s">
        <v>137</v>
      </c>
      <c r="F49" s="19"/>
      <c r="G49" s="14"/>
      <c r="H49" s="14" t="s">
        <v>260</v>
      </c>
      <c r="I49" s="13"/>
    </row>
    <row r="50" spans="1:9" ht="15" customHeight="1" x14ac:dyDescent="0.45">
      <c r="A50" s="14">
        <v>49</v>
      </c>
      <c r="B50" s="13" t="s">
        <v>309</v>
      </c>
      <c r="C50" s="14" t="s">
        <v>50</v>
      </c>
      <c r="D50" s="14" t="s">
        <v>259</v>
      </c>
      <c r="E50" s="14" t="s">
        <v>137</v>
      </c>
      <c r="F50" s="19"/>
      <c r="G50" s="14"/>
      <c r="H50" s="14" t="s">
        <v>260</v>
      </c>
      <c r="I50" s="13"/>
    </row>
    <row r="51" spans="1:9" ht="15" customHeight="1" x14ac:dyDescent="0.45">
      <c r="A51" s="14">
        <v>50</v>
      </c>
      <c r="B51" s="13" t="s">
        <v>310</v>
      </c>
      <c r="C51" s="14" t="s">
        <v>50</v>
      </c>
      <c r="D51" s="14" t="s">
        <v>259</v>
      </c>
      <c r="E51" s="14" t="s">
        <v>137</v>
      </c>
      <c r="F51" s="19"/>
      <c r="G51" s="14"/>
      <c r="H51" s="14" t="s">
        <v>260</v>
      </c>
      <c r="I51" s="13"/>
    </row>
    <row r="52" spans="1:9" ht="15" customHeight="1" x14ac:dyDescent="0.45">
      <c r="A52" s="14">
        <v>51</v>
      </c>
      <c r="B52" s="13" t="s">
        <v>311</v>
      </c>
      <c r="C52" s="14" t="s">
        <v>50</v>
      </c>
      <c r="D52" s="14" t="s">
        <v>259</v>
      </c>
      <c r="E52" s="14" t="s">
        <v>137</v>
      </c>
      <c r="F52" s="19"/>
      <c r="G52" s="14"/>
      <c r="H52" s="14" t="s">
        <v>260</v>
      </c>
      <c r="I52" s="13"/>
    </row>
    <row r="53" spans="1:9" ht="15" customHeight="1" x14ac:dyDescent="0.45">
      <c r="A53" s="14">
        <v>52</v>
      </c>
      <c r="B53" s="13" t="s">
        <v>312</v>
      </c>
      <c r="C53" s="14" t="s">
        <v>50</v>
      </c>
      <c r="D53" s="14" t="s">
        <v>264</v>
      </c>
      <c r="E53" s="14" t="s">
        <v>137</v>
      </c>
      <c r="F53" s="19"/>
      <c r="G53" s="14"/>
      <c r="H53" s="14" t="s">
        <v>260</v>
      </c>
      <c r="I53" s="13"/>
    </row>
    <row r="54" spans="1:9" ht="15" customHeight="1" x14ac:dyDescent="0.45">
      <c r="A54" s="14">
        <v>53</v>
      </c>
      <c r="B54" s="13" t="s">
        <v>313</v>
      </c>
      <c r="C54" s="14" t="s">
        <v>50</v>
      </c>
      <c r="D54" s="14" t="s">
        <v>264</v>
      </c>
      <c r="E54" s="14" t="s">
        <v>137</v>
      </c>
      <c r="F54" s="19"/>
      <c r="G54" s="14"/>
      <c r="H54" s="14" t="s">
        <v>260</v>
      </c>
      <c r="I54" s="13"/>
    </row>
    <row r="55" spans="1:9" ht="15" customHeight="1" x14ac:dyDescent="0.45">
      <c r="A55" s="14">
        <v>54</v>
      </c>
      <c r="B55" s="13" t="s">
        <v>314</v>
      </c>
      <c r="C55" s="14" t="s">
        <v>50</v>
      </c>
      <c r="D55" s="14" t="s">
        <v>264</v>
      </c>
      <c r="E55" s="14" t="s">
        <v>137</v>
      </c>
      <c r="F55" s="19"/>
      <c r="G55" s="14"/>
      <c r="H55" s="14" t="s">
        <v>260</v>
      </c>
      <c r="I55" s="13"/>
    </row>
    <row r="56" spans="1:9" ht="15" customHeight="1" x14ac:dyDescent="0.45">
      <c r="A56" s="14">
        <v>55</v>
      </c>
      <c r="B56" s="13" t="s">
        <v>315</v>
      </c>
      <c r="C56" s="14" t="s">
        <v>50</v>
      </c>
      <c r="D56" s="14" t="s">
        <v>264</v>
      </c>
      <c r="E56" s="14" t="s">
        <v>137</v>
      </c>
      <c r="F56" s="19"/>
      <c r="G56" s="14"/>
      <c r="H56" s="14" t="s">
        <v>260</v>
      </c>
      <c r="I56" s="13"/>
    </row>
    <row r="57" spans="1:9" ht="15" customHeight="1" x14ac:dyDescent="0.45">
      <c r="A57" s="14">
        <v>56</v>
      </c>
      <c r="B57" s="13" t="s">
        <v>316</v>
      </c>
      <c r="C57" s="14" t="s">
        <v>50</v>
      </c>
      <c r="D57" s="14" t="s">
        <v>264</v>
      </c>
      <c r="E57" s="14" t="s">
        <v>137</v>
      </c>
      <c r="F57" s="19"/>
      <c r="G57" s="14"/>
      <c r="H57" s="14" t="s">
        <v>260</v>
      </c>
      <c r="I57" s="13"/>
    </row>
    <row r="58" spans="1:9" ht="15" customHeight="1" x14ac:dyDescent="0.45">
      <c r="A58" s="14">
        <v>57</v>
      </c>
      <c r="B58" s="13" t="s">
        <v>317</v>
      </c>
      <c r="C58" s="14" t="s">
        <v>50</v>
      </c>
      <c r="D58" s="14" t="s">
        <v>264</v>
      </c>
      <c r="E58" s="14" t="s">
        <v>137</v>
      </c>
      <c r="F58" s="19"/>
      <c r="G58" s="14"/>
      <c r="H58" s="14" t="s">
        <v>260</v>
      </c>
      <c r="I58" s="13"/>
    </row>
    <row r="59" spans="1:9" ht="15" customHeight="1" x14ac:dyDescent="0.45">
      <c r="A59" s="14">
        <v>58</v>
      </c>
      <c r="B59" s="13" t="s">
        <v>318</v>
      </c>
      <c r="C59" s="14" t="s">
        <v>50</v>
      </c>
      <c r="D59" s="14" t="s">
        <v>264</v>
      </c>
      <c r="E59" s="14" t="s">
        <v>137</v>
      </c>
      <c r="F59" s="19"/>
      <c r="G59" s="14"/>
      <c r="H59" s="14" t="s">
        <v>260</v>
      </c>
      <c r="I59" s="13"/>
    </row>
    <row r="60" spans="1:9" ht="15" customHeight="1" x14ac:dyDescent="0.45">
      <c r="A60" s="14">
        <v>59</v>
      </c>
      <c r="B60" s="13" t="s">
        <v>319</v>
      </c>
      <c r="C60" s="14" t="s">
        <v>50</v>
      </c>
      <c r="D60" s="14" t="s">
        <v>275</v>
      </c>
      <c r="E60" s="14" t="s">
        <v>137</v>
      </c>
      <c r="F60" s="19"/>
      <c r="G60" s="14"/>
      <c r="H60" s="14" t="s">
        <v>260</v>
      </c>
      <c r="I60" s="13"/>
    </row>
    <row r="61" spans="1:9" ht="15" customHeight="1" x14ac:dyDescent="0.45">
      <c r="A61" s="14">
        <v>60</v>
      </c>
      <c r="B61" s="13" t="s">
        <v>320</v>
      </c>
      <c r="C61" s="14" t="s">
        <v>50</v>
      </c>
      <c r="D61" s="14" t="s">
        <v>275</v>
      </c>
      <c r="E61" s="14" t="s">
        <v>137</v>
      </c>
      <c r="F61" s="19"/>
      <c r="G61" s="14"/>
      <c r="H61" s="14" t="s">
        <v>260</v>
      </c>
      <c r="I61" s="13"/>
    </row>
    <row r="62" spans="1:9" ht="15" customHeight="1" x14ac:dyDescent="0.45">
      <c r="A62" s="14">
        <v>61</v>
      </c>
      <c r="B62" s="13" t="s">
        <v>321</v>
      </c>
      <c r="C62" s="14" t="s">
        <v>52</v>
      </c>
      <c r="D62" s="14" t="s">
        <v>264</v>
      </c>
      <c r="E62" s="14" t="s">
        <v>137</v>
      </c>
      <c r="F62" s="19"/>
      <c r="G62" s="14"/>
      <c r="H62" s="14" t="s">
        <v>260</v>
      </c>
      <c r="I62" s="13"/>
    </row>
    <row r="63" spans="1:9" ht="15" customHeight="1" x14ac:dyDescent="0.45">
      <c r="A63" s="14">
        <v>62</v>
      </c>
      <c r="B63" s="13" t="s">
        <v>322</v>
      </c>
      <c r="C63" s="14" t="s">
        <v>52</v>
      </c>
      <c r="D63" s="14" t="s">
        <v>264</v>
      </c>
      <c r="E63" s="14" t="s">
        <v>137</v>
      </c>
      <c r="F63" s="19"/>
      <c r="G63" s="14"/>
      <c r="H63" s="14" t="s">
        <v>260</v>
      </c>
      <c r="I63" s="13"/>
    </row>
    <row r="64" spans="1:9" ht="15" customHeight="1" x14ac:dyDescent="0.45">
      <c r="A64" s="14">
        <v>63</v>
      </c>
      <c r="B64" s="13" t="s">
        <v>323</v>
      </c>
      <c r="C64" s="14" t="s">
        <v>52</v>
      </c>
      <c r="D64" s="14" t="s">
        <v>275</v>
      </c>
      <c r="E64" s="14" t="s">
        <v>137</v>
      </c>
      <c r="F64" s="19"/>
      <c r="G64" s="14"/>
      <c r="H64" s="14" t="s">
        <v>260</v>
      </c>
      <c r="I64" s="13"/>
    </row>
    <row r="65" spans="1:9" ht="15" customHeight="1" x14ac:dyDescent="0.45">
      <c r="A65" s="14">
        <v>64</v>
      </c>
      <c r="B65" s="13" t="s">
        <v>324</v>
      </c>
      <c r="C65" s="14" t="s">
        <v>54</v>
      </c>
      <c r="D65" s="14" t="s">
        <v>259</v>
      </c>
      <c r="E65" s="14" t="s">
        <v>137</v>
      </c>
      <c r="F65" s="19"/>
      <c r="G65" s="14"/>
      <c r="H65" s="14" t="s">
        <v>260</v>
      </c>
      <c r="I65" s="13"/>
    </row>
    <row r="66" spans="1:9" ht="15" customHeight="1" x14ac:dyDescent="0.45">
      <c r="A66" s="14">
        <v>65</v>
      </c>
      <c r="B66" s="13" t="s">
        <v>325</v>
      </c>
      <c r="C66" s="14" t="s">
        <v>54</v>
      </c>
      <c r="D66" s="14" t="s">
        <v>259</v>
      </c>
      <c r="E66" s="14" t="s">
        <v>137</v>
      </c>
      <c r="F66" s="19"/>
      <c r="G66" s="14"/>
      <c r="H66" s="14" t="s">
        <v>260</v>
      </c>
      <c r="I66" s="13"/>
    </row>
    <row r="67" spans="1:9" ht="15" customHeight="1" x14ac:dyDescent="0.45">
      <c r="A67" s="14">
        <v>66</v>
      </c>
      <c r="B67" s="13" t="s">
        <v>326</v>
      </c>
      <c r="C67" s="14" t="s">
        <v>54</v>
      </c>
      <c r="D67" s="14" t="s">
        <v>264</v>
      </c>
      <c r="E67" s="14" t="s">
        <v>137</v>
      </c>
      <c r="F67" s="19"/>
      <c r="G67" s="14"/>
      <c r="H67" s="14" t="s">
        <v>260</v>
      </c>
      <c r="I67" s="13"/>
    </row>
    <row r="68" spans="1:9" ht="15" customHeight="1" x14ac:dyDescent="0.45">
      <c r="A68" s="14">
        <v>67</v>
      </c>
      <c r="B68" s="13" t="s">
        <v>327</v>
      </c>
      <c r="C68" s="14" t="s">
        <v>54</v>
      </c>
      <c r="D68" s="14" t="s">
        <v>264</v>
      </c>
      <c r="E68" s="14" t="s">
        <v>137</v>
      </c>
      <c r="F68" s="19"/>
      <c r="G68" s="14"/>
      <c r="H68" s="14" t="s">
        <v>260</v>
      </c>
      <c r="I68" s="13"/>
    </row>
    <row r="69" spans="1:9" ht="15" customHeight="1" x14ac:dyDescent="0.45">
      <c r="A69" s="14">
        <v>68</v>
      </c>
      <c r="B69" s="13" t="s">
        <v>328</v>
      </c>
      <c r="C69" s="14" t="s">
        <v>54</v>
      </c>
      <c r="D69" s="14" t="s">
        <v>264</v>
      </c>
      <c r="E69" s="14" t="s">
        <v>137</v>
      </c>
      <c r="F69" s="19"/>
      <c r="G69" s="14"/>
      <c r="H69" s="14" t="s">
        <v>260</v>
      </c>
      <c r="I69" s="13"/>
    </row>
    <row r="70" spans="1:9" ht="15" customHeight="1" x14ac:dyDescent="0.45">
      <c r="A70" s="14">
        <v>69</v>
      </c>
      <c r="B70" s="13" t="s">
        <v>329</v>
      </c>
      <c r="C70" s="14" t="s">
        <v>54</v>
      </c>
      <c r="D70" s="14" t="s">
        <v>264</v>
      </c>
      <c r="E70" s="14" t="s">
        <v>137</v>
      </c>
      <c r="F70" s="19"/>
      <c r="G70" s="14"/>
      <c r="H70" s="14" t="s">
        <v>260</v>
      </c>
      <c r="I70" s="13"/>
    </row>
    <row r="71" spans="1:9" ht="15" customHeight="1" x14ac:dyDescent="0.45">
      <c r="A71" s="14">
        <v>70</v>
      </c>
      <c r="B71" s="13" t="s">
        <v>330</v>
      </c>
      <c r="C71" s="14" t="s">
        <v>54</v>
      </c>
      <c r="D71" s="14" t="s">
        <v>275</v>
      </c>
      <c r="E71" s="14" t="s">
        <v>137</v>
      </c>
      <c r="F71" s="19"/>
      <c r="G71" s="14"/>
      <c r="H71" s="14" t="s">
        <v>260</v>
      </c>
      <c r="I71" s="13"/>
    </row>
    <row r="72" spans="1:9" ht="15" customHeight="1" x14ac:dyDescent="0.45">
      <c r="A72" s="14">
        <v>71</v>
      </c>
      <c r="B72" s="13" t="s">
        <v>331</v>
      </c>
      <c r="C72" s="14" t="s">
        <v>55</v>
      </c>
      <c r="D72" s="14" t="s">
        <v>264</v>
      </c>
      <c r="E72" s="14" t="s">
        <v>137</v>
      </c>
      <c r="F72" s="19"/>
      <c r="G72" s="14"/>
      <c r="H72" s="14" t="s">
        <v>260</v>
      </c>
      <c r="I72" s="13"/>
    </row>
    <row r="73" spans="1:9" ht="15" customHeight="1" x14ac:dyDescent="0.45">
      <c r="A73" s="14">
        <v>72</v>
      </c>
      <c r="B73" s="13" t="s">
        <v>332</v>
      </c>
      <c r="C73" s="14" t="s">
        <v>55</v>
      </c>
      <c r="D73" s="14" t="s">
        <v>264</v>
      </c>
      <c r="E73" s="14" t="s">
        <v>137</v>
      </c>
      <c r="F73" s="19"/>
      <c r="G73" s="14"/>
      <c r="H73" s="14" t="s">
        <v>260</v>
      </c>
      <c r="I73" s="13"/>
    </row>
    <row r="74" spans="1:9" ht="15" customHeight="1" x14ac:dyDescent="0.45">
      <c r="A74" s="14">
        <v>73</v>
      </c>
      <c r="B74" s="13" t="s">
        <v>333</v>
      </c>
      <c r="C74" s="14" t="s">
        <v>55</v>
      </c>
      <c r="D74" s="14" t="s">
        <v>264</v>
      </c>
      <c r="E74" s="14" t="s">
        <v>137</v>
      </c>
      <c r="F74" s="19"/>
      <c r="G74" s="14"/>
      <c r="H74" s="14" t="s">
        <v>260</v>
      </c>
      <c r="I74" s="13"/>
    </row>
    <row r="75" spans="1:9" ht="15" customHeight="1" x14ac:dyDescent="0.45">
      <c r="A75" s="14">
        <v>74</v>
      </c>
      <c r="B75" s="13" t="s">
        <v>334</v>
      </c>
      <c r="C75" s="14" t="s">
        <v>55</v>
      </c>
      <c r="D75" s="14" t="s">
        <v>264</v>
      </c>
      <c r="E75" s="14" t="s">
        <v>137</v>
      </c>
      <c r="F75" s="19"/>
      <c r="G75" s="14"/>
      <c r="H75" s="14" t="s">
        <v>260</v>
      </c>
      <c r="I75" s="13"/>
    </row>
    <row r="76" spans="1:9" ht="15" customHeight="1" x14ac:dyDescent="0.45">
      <c r="A76" s="14">
        <v>75</v>
      </c>
      <c r="B76" s="13" t="s">
        <v>335</v>
      </c>
      <c r="C76" s="14" t="s">
        <v>55</v>
      </c>
      <c r="D76" s="14" t="s">
        <v>264</v>
      </c>
      <c r="E76" s="14" t="s">
        <v>137</v>
      </c>
      <c r="F76" s="19"/>
      <c r="G76" s="14"/>
      <c r="H76" s="14" t="s">
        <v>260</v>
      </c>
      <c r="I76" s="13"/>
    </row>
    <row r="77" spans="1:9" ht="15" customHeight="1" x14ac:dyDescent="0.45">
      <c r="A77" s="14">
        <v>76</v>
      </c>
      <c r="B77" s="13" t="s">
        <v>336</v>
      </c>
      <c r="C77" s="14" t="s">
        <v>55</v>
      </c>
      <c r="D77" s="14" t="s">
        <v>264</v>
      </c>
      <c r="E77" s="14" t="s">
        <v>137</v>
      </c>
      <c r="F77" s="19"/>
      <c r="G77" s="14"/>
      <c r="H77" s="14" t="s">
        <v>260</v>
      </c>
      <c r="I77" s="13"/>
    </row>
    <row r="78" spans="1:9" ht="15" customHeight="1" x14ac:dyDescent="0.45">
      <c r="A78" s="14">
        <v>77</v>
      </c>
      <c r="B78" s="13" t="s">
        <v>337</v>
      </c>
      <c r="C78" s="14" t="s">
        <v>55</v>
      </c>
      <c r="D78" s="14" t="s">
        <v>264</v>
      </c>
      <c r="E78" s="14" t="s">
        <v>137</v>
      </c>
      <c r="F78" s="19"/>
      <c r="G78" s="14"/>
      <c r="H78" s="14" t="s">
        <v>260</v>
      </c>
      <c r="I78" s="13"/>
    </row>
    <row r="79" spans="1:9" ht="15" customHeight="1" x14ac:dyDescent="0.45">
      <c r="A79" s="14">
        <v>78</v>
      </c>
      <c r="B79" s="13" t="s">
        <v>338</v>
      </c>
      <c r="C79" s="14" t="s">
        <v>55</v>
      </c>
      <c r="D79" s="14" t="s">
        <v>264</v>
      </c>
      <c r="E79" s="14" t="s">
        <v>137</v>
      </c>
      <c r="F79" s="19"/>
      <c r="G79" s="14"/>
      <c r="H79" s="14" t="s">
        <v>260</v>
      </c>
      <c r="I79" s="13"/>
    </row>
    <row r="80" spans="1:9" ht="15" customHeight="1" x14ac:dyDescent="0.45">
      <c r="A80" s="14">
        <v>79</v>
      </c>
      <c r="B80" s="13" t="s">
        <v>339</v>
      </c>
      <c r="C80" s="14" t="s">
        <v>55</v>
      </c>
      <c r="D80" s="14" t="s">
        <v>275</v>
      </c>
      <c r="E80" s="14" t="s">
        <v>137</v>
      </c>
      <c r="F80" s="19"/>
      <c r="G80" s="14"/>
      <c r="H80" s="14" t="s">
        <v>260</v>
      </c>
      <c r="I80" s="13"/>
    </row>
    <row r="81" spans="1:9" ht="15" customHeight="1" x14ac:dyDescent="0.45">
      <c r="A81" s="14">
        <v>80</v>
      </c>
      <c r="B81" s="13" t="s">
        <v>340</v>
      </c>
      <c r="C81" s="14" t="s">
        <v>56</v>
      </c>
      <c r="D81" s="14" t="s">
        <v>264</v>
      </c>
      <c r="E81" s="14" t="s">
        <v>137</v>
      </c>
      <c r="F81" s="19"/>
      <c r="G81" s="14"/>
      <c r="H81" s="14" t="s">
        <v>260</v>
      </c>
      <c r="I81" s="13"/>
    </row>
    <row r="82" spans="1:9" ht="15" customHeight="1" x14ac:dyDescent="0.45">
      <c r="A82" s="14">
        <v>81</v>
      </c>
      <c r="B82" s="13" t="s">
        <v>341</v>
      </c>
      <c r="C82" s="14" t="s">
        <v>56</v>
      </c>
      <c r="D82" s="14" t="s">
        <v>264</v>
      </c>
      <c r="E82" s="14" t="s">
        <v>137</v>
      </c>
      <c r="F82" s="19"/>
      <c r="G82" s="14"/>
      <c r="H82" s="14" t="s">
        <v>260</v>
      </c>
      <c r="I82" s="13"/>
    </row>
    <row r="83" spans="1:9" ht="15" customHeight="1" x14ac:dyDescent="0.45">
      <c r="A83" s="14">
        <v>82</v>
      </c>
      <c r="B83" s="13" t="s">
        <v>342</v>
      </c>
      <c r="C83" s="14" t="s">
        <v>56</v>
      </c>
      <c r="D83" s="14" t="s">
        <v>264</v>
      </c>
      <c r="E83" s="14" t="s">
        <v>137</v>
      </c>
      <c r="F83" s="19"/>
      <c r="G83" s="14"/>
      <c r="H83" s="14" t="s">
        <v>260</v>
      </c>
      <c r="I83" s="13"/>
    </row>
    <row r="84" spans="1:9" ht="15" customHeight="1" x14ac:dyDescent="0.45">
      <c r="A84" s="14">
        <v>83</v>
      </c>
      <c r="B84" s="13" t="s">
        <v>343</v>
      </c>
      <c r="C84" s="14" t="s">
        <v>56</v>
      </c>
      <c r="D84" s="14" t="s">
        <v>264</v>
      </c>
      <c r="E84" s="14" t="s">
        <v>137</v>
      </c>
      <c r="F84" s="19"/>
      <c r="G84" s="14"/>
      <c r="H84" s="14" t="s">
        <v>260</v>
      </c>
      <c r="I84" s="13"/>
    </row>
    <row r="85" spans="1:9" ht="15" customHeight="1" x14ac:dyDescent="0.45">
      <c r="A85" s="14">
        <v>84</v>
      </c>
      <c r="B85" s="13" t="s">
        <v>344</v>
      </c>
      <c r="C85" s="14" t="s">
        <v>56</v>
      </c>
      <c r="D85" s="14" t="s">
        <v>264</v>
      </c>
      <c r="E85" s="14" t="s">
        <v>137</v>
      </c>
      <c r="F85" s="19"/>
      <c r="G85" s="14"/>
      <c r="H85" s="14" t="s">
        <v>260</v>
      </c>
      <c r="I85" s="13"/>
    </row>
    <row r="86" spans="1:9" ht="15" customHeight="1" x14ac:dyDescent="0.45">
      <c r="A86" s="14">
        <v>85</v>
      </c>
      <c r="B86" s="13" t="s">
        <v>345</v>
      </c>
      <c r="C86" s="14" t="s">
        <v>56</v>
      </c>
      <c r="D86" s="14" t="s">
        <v>264</v>
      </c>
      <c r="E86" s="14" t="s">
        <v>137</v>
      </c>
      <c r="F86" s="19"/>
      <c r="G86" s="14"/>
      <c r="H86" s="14" t="s">
        <v>260</v>
      </c>
      <c r="I86" s="13"/>
    </row>
    <row r="87" spans="1:9" ht="15" customHeight="1" x14ac:dyDescent="0.45">
      <c r="A87" s="14">
        <v>86</v>
      </c>
      <c r="B87" s="13" t="s">
        <v>346</v>
      </c>
      <c r="C87" s="14" t="s">
        <v>56</v>
      </c>
      <c r="D87" s="14" t="s">
        <v>264</v>
      </c>
      <c r="E87" s="14" t="s">
        <v>137</v>
      </c>
      <c r="F87" s="19"/>
      <c r="G87" s="14"/>
      <c r="H87" s="14" t="s">
        <v>260</v>
      </c>
      <c r="I87" s="13"/>
    </row>
    <row r="88" spans="1:9" ht="15" customHeight="1" x14ac:dyDescent="0.45">
      <c r="A88" s="14">
        <v>87</v>
      </c>
      <c r="B88" s="13" t="s">
        <v>347</v>
      </c>
      <c r="C88" s="14" t="s">
        <v>56</v>
      </c>
      <c r="D88" s="14" t="s">
        <v>264</v>
      </c>
      <c r="E88" s="14" t="s">
        <v>137</v>
      </c>
      <c r="F88" s="19"/>
      <c r="G88" s="14"/>
      <c r="H88" s="14" t="s">
        <v>260</v>
      </c>
      <c r="I88" s="13"/>
    </row>
    <row r="89" spans="1:9" ht="15" customHeight="1" x14ac:dyDescent="0.45">
      <c r="A89" s="14">
        <v>88</v>
      </c>
      <c r="B89" s="13" t="s">
        <v>348</v>
      </c>
      <c r="C89" s="14" t="s">
        <v>56</v>
      </c>
      <c r="D89" s="14" t="s">
        <v>264</v>
      </c>
      <c r="E89" s="14" t="s">
        <v>137</v>
      </c>
      <c r="F89" s="19"/>
      <c r="G89" s="14"/>
      <c r="H89" s="14" t="s">
        <v>260</v>
      </c>
      <c r="I89" s="13"/>
    </row>
    <row r="90" spans="1:9" ht="15" customHeight="1" x14ac:dyDescent="0.45">
      <c r="A90" s="14">
        <v>89</v>
      </c>
      <c r="B90" s="13" t="s">
        <v>349</v>
      </c>
      <c r="C90" s="14" t="s">
        <v>56</v>
      </c>
      <c r="D90" s="14" t="s">
        <v>264</v>
      </c>
      <c r="E90" s="14" t="s">
        <v>137</v>
      </c>
      <c r="F90" s="19"/>
      <c r="G90" s="14"/>
      <c r="H90" s="14" t="s">
        <v>260</v>
      </c>
      <c r="I90" s="13"/>
    </row>
    <row r="91" spans="1:9" ht="15" customHeight="1" x14ac:dyDescent="0.45">
      <c r="A91" s="14">
        <v>90</v>
      </c>
      <c r="B91" s="13" t="s">
        <v>350</v>
      </c>
      <c r="C91" s="14" t="s">
        <v>56</v>
      </c>
      <c r="D91" s="14" t="s">
        <v>264</v>
      </c>
      <c r="E91" s="14" t="s">
        <v>137</v>
      </c>
      <c r="F91" s="19"/>
      <c r="G91" s="14"/>
      <c r="H91" s="14" t="s">
        <v>260</v>
      </c>
      <c r="I91" s="13"/>
    </row>
    <row r="92" spans="1:9" ht="15" customHeight="1" x14ac:dyDescent="0.45">
      <c r="A92" s="14">
        <v>91</v>
      </c>
      <c r="B92" s="13" t="s">
        <v>351</v>
      </c>
      <c r="C92" s="14" t="s">
        <v>56</v>
      </c>
      <c r="D92" s="14" t="s">
        <v>264</v>
      </c>
      <c r="E92" s="14" t="s">
        <v>137</v>
      </c>
      <c r="F92" s="19"/>
      <c r="G92" s="14"/>
      <c r="H92" s="14" t="s">
        <v>260</v>
      </c>
      <c r="I92" s="13"/>
    </row>
    <row r="93" spans="1:9" ht="15" customHeight="1" x14ac:dyDescent="0.45">
      <c r="A93" s="14">
        <v>92</v>
      </c>
      <c r="B93" s="13" t="s">
        <v>352</v>
      </c>
      <c r="C93" s="14" t="s">
        <v>56</v>
      </c>
      <c r="D93" s="14" t="s">
        <v>275</v>
      </c>
      <c r="E93" s="14" t="s">
        <v>137</v>
      </c>
      <c r="F93" s="19"/>
      <c r="G93" s="14"/>
      <c r="H93" s="14" t="s">
        <v>260</v>
      </c>
      <c r="I93" s="13"/>
    </row>
    <row r="94" spans="1:9" ht="15" customHeight="1" x14ac:dyDescent="0.45">
      <c r="A94" s="14">
        <v>93</v>
      </c>
      <c r="B94" s="13" t="s">
        <v>353</v>
      </c>
      <c r="C94" s="14" t="s">
        <v>57</v>
      </c>
      <c r="D94" s="14" t="s">
        <v>275</v>
      </c>
      <c r="E94" s="14" t="s">
        <v>137</v>
      </c>
      <c r="F94" s="19"/>
      <c r="G94" s="14"/>
      <c r="H94" s="14" t="s">
        <v>260</v>
      </c>
      <c r="I94" s="13"/>
    </row>
    <row r="95" spans="1:9" ht="15" customHeight="1" x14ac:dyDescent="0.45">
      <c r="A95" s="14">
        <v>94</v>
      </c>
      <c r="B95" s="13" t="s">
        <v>354</v>
      </c>
      <c r="C95" s="14" t="s">
        <v>57</v>
      </c>
      <c r="D95" s="14" t="s">
        <v>264</v>
      </c>
      <c r="E95" s="14" t="s">
        <v>137</v>
      </c>
      <c r="F95" s="19"/>
      <c r="G95" s="14"/>
      <c r="H95" s="14" t="s">
        <v>260</v>
      </c>
      <c r="I95" s="13"/>
    </row>
    <row r="96" spans="1:9" ht="15" customHeight="1" x14ac:dyDescent="0.45">
      <c r="A96" s="14">
        <v>95</v>
      </c>
      <c r="B96" s="13" t="s">
        <v>355</v>
      </c>
      <c r="C96" s="14" t="s">
        <v>57</v>
      </c>
      <c r="D96" s="14" t="s">
        <v>264</v>
      </c>
      <c r="E96" s="14" t="s">
        <v>137</v>
      </c>
      <c r="F96" s="19"/>
      <c r="G96" s="14"/>
      <c r="H96" s="14" t="s">
        <v>260</v>
      </c>
      <c r="I96" s="13"/>
    </row>
    <row r="97" spans="1:9" ht="15" customHeight="1" x14ac:dyDescent="0.45">
      <c r="A97" s="14">
        <v>96</v>
      </c>
      <c r="B97" s="13" t="s">
        <v>356</v>
      </c>
      <c r="C97" s="14" t="s">
        <v>57</v>
      </c>
      <c r="D97" s="14" t="s">
        <v>275</v>
      </c>
      <c r="E97" s="14" t="s">
        <v>137</v>
      </c>
      <c r="F97" s="19"/>
      <c r="G97" s="14"/>
      <c r="H97" s="14" t="s">
        <v>260</v>
      </c>
      <c r="I97" s="13"/>
    </row>
    <row r="98" spans="1:9" ht="15" customHeight="1" x14ac:dyDescent="0.45">
      <c r="A98" s="14">
        <v>97</v>
      </c>
      <c r="B98" s="13" t="s">
        <v>357</v>
      </c>
      <c r="C98" s="14" t="s">
        <v>57</v>
      </c>
      <c r="D98" s="14" t="s">
        <v>275</v>
      </c>
      <c r="E98" s="14" t="s">
        <v>137</v>
      </c>
      <c r="F98" s="19"/>
      <c r="G98" s="14"/>
      <c r="H98" s="14" t="s">
        <v>260</v>
      </c>
      <c r="I98" s="13"/>
    </row>
    <row r="99" spans="1:9" ht="15" customHeight="1" x14ac:dyDescent="0.45">
      <c r="A99" s="14">
        <v>98</v>
      </c>
      <c r="B99" s="13" t="s">
        <v>358</v>
      </c>
      <c r="C99" s="14" t="s">
        <v>57</v>
      </c>
      <c r="D99" s="14" t="s">
        <v>264</v>
      </c>
      <c r="E99" s="14" t="s">
        <v>137</v>
      </c>
      <c r="F99" s="19"/>
      <c r="G99" s="14"/>
      <c r="H99" s="14" t="s">
        <v>260</v>
      </c>
      <c r="I99" s="13"/>
    </row>
    <row r="100" spans="1:9" ht="15" customHeight="1" x14ac:dyDescent="0.45">
      <c r="A100" s="14">
        <v>99</v>
      </c>
      <c r="B100" s="13" t="s">
        <v>359</v>
      </c>
      <c r="C100" s="14" t="s">
        <v>58</v>
      </c>
      <c r="D100" s="14" t="s">
        <v>259</v>
      </c>
      <c r="E100" s="14" t="s">
        <v>137</v>
      </c>
      <c r="F100" s="19"/>
      <c r="G100" s="14"/>
      <c r="H100" s="14" t="s">
        <v>260</v>
      </c>
      <c r="I100" s="13"/>
    </row>
    <row r="101" spans="1:9" ht="15" customHeight="1" x14ac:dyDescent="0.45">
      <c r="A101" s="14">
        <v>100</v>
      </c>
      <c r="B101" s="13" t="s">
        <v>360</v>
      </c>
      <c r="C101" s="14" t="s">
        <v>58</v>
      </c>
      <c r="D101" s="14" t="s">
        <v>259</v>
      </c>
      <c r="E101" s="14" t="s">
        <v>137</v>
      </c>
      <c r="F101" s="19"/>
      <c r="G101" s="14"/>
      <c r="H101" s="14" t="s">
        <v>260</v>
      </c>
      <c r="I101" s="13"/>
    </row>
    <row r="102" spans="1:9" ht="15" customHeight="1" x14ac:dyDescent="0.45">
      <c r="A102" s="14">
        <v>101</v>
      </c>
      <c r="B102" s="13" t="s">
        <v>361</v>
      </c>
      <c r="C102" s="14" t="s">
        <v>58</v>
      </c>
      <c r="D102" s="14" t="s">
        <v>264</v>
      </c>
      <c r="E102" s="14" t="s">
        <v>137</v>
      </c>
      <c r="F102" s="19"/>
      <c r="G102" s="14"/>
      <c r="H102" s="14" t="s">
        <v>260</v>
      </c>
      <c r="I102" s="13"/>
    </row>
    <row r="103" spans="1:9" ht="15" customHeight="1" x14ac:dyDescent="0.45">
      <c r="A103" s="14">
        <v>102</v>
      </c>
      <c r="B103" s="13" t="s">
        <v>362</v>
      </c>
      <c r="C103" s="14" t="s">
        <v>58</v>
      </c>
      <c r="D103" s="14" t="s">
        <v>264</v>
      </c>
      <c r="E103" s="14" t="s">
        <v>137</v>
      </c>
      <c r="F103" s="19"/>
      <c r="G103" s="14"/>
      <c r="H103" s="14" t="s">
        <v>260</v>
      </c>
      <c r="I103" s="13"/>
    </row>
    <row r="104" spans="1:9" ht="15" customHeight="1" x14ac:dyDescent="0.45">
      <c r="A104" s="14">
        <v>103</v>
      </c>
      <c r="B104" s="13" t="s">
        <v>363</v>
      </c>
      <c r="C104" s="14" t="s">
        <v>58</v>
      </c>
      <c r="D104" s="14" t="s">
        <v>264</v>
      </c>
      <c r="E104" s="14" t="s">
        <v>137</v>
      </c>
      <c r="F104" s="19"/>
      <c r="G104" s="14"/>
      <c r="H104" s="14" t="s">
        <v>260</v>
      </c>
      <c r="I104" s="13"/>
    </row>
    <row r="105" spans="1:9" ht="15" customHeight="1" x14ac:dyDescent="0.45">
      <c r="A105" s="14">
        <v>104</v>
      </c>
      <c r="B105" s="13" t="s">
        <v>364</v>
      </c>
      <c r="C105" s="14" t="s">
        <v>58</v>
      </c>
      <c r="D105" s="14" t="s">
        <v>264</v>
      </c>
      <c r="E105" s="14" t="s">
        <v>137</v>
      </c>
      <c r="F105" s="19"/>
      <c r="G105" s="14"/>
      <c r="H105" s="14" t="s">
        <v>260</v>
      </c>
      <c r="I105" s="13"/>
    </row>
    <row r="106" spans="1:9" ht="15" customHeight="1" x14ac:dyDescent="0.45">
      <c r="A106" s="14">
        <v>105</v>
      </c>
      <c r="B106" s="13" t="s">
        <v>365</v>
      </c>
      <c r="C106" s="14" t="s">
        <v>58</v>
      </c>
      <c r="D106" s="14" t="s">
        <v>264</v>
      </c>
      <c r="E106" s="14" t="s">
        <v>137</v>
      </c>
      <c r="F106" s="19"/>
      <c r="G106" s="14"/>
      <c r="H106" s="14" t="s">
        <v>260</v>
      </c>
      <c r="I106" s="13"/>
    </row>
    <row r="107" spans="1:9" ht="15" customHeight="1" x14ac:dyDescent="0.45">
      <c r="A107" s="14">
        <v>106</v>
      </c>
      <c r="B107" s="13" t="s">
        <v>366</v>
      </c>
      <c r="C107" s="14" t="s">
        <v>58</v>
      </c>
      <c r="D107" s="14" t="s">
        <v>264</v>
      </c>
      <c r="E107" s="14" t="s">
        <v>137</v>
      </c>
      <c r="F107" s="19"/>
      <c r="G107" s="14"/>
      <c r="H107" s="14" t="s">
        <v>260</v>
      </c>
      <c r="I107" s="13"/>
    </row>
    <row r="108" spans="1:9" ht="15" customHeight="1" x14ac:dyDescent="0.45">
      <c r="A108" s="14">
        <v>107</v>
      </c>
      <c r="B108" s="13" t="s">
        <v>367</v>
      </c>
      <c r="C108" s="14" t="s">
        <v>58</v>
      </c>
      <c r="D108" s="14" t="s">
        <v>264</v>
      </c>
      <c r="E108" s="14" t="s">
        <v>137</v>
      </c>
      <c r="F108" s="19"/>
      <c r="G108" s="14"/>
      <c r="H108" s="14" t="s">
        <v>260</v>
      </c>
      <c r="I108" s="13"/>
    </row>
    <row r="109" spans="1:9" ht="15" customHeight="1" x14ac:dyDescent="0.45">
      <c r="A109" s="14">
        <v>108</v>
      </c>
      <c r="B109" s="13" t="s">
        <v>368</v>
      </c>
      <c r="C109" s="14" t="s">
        <v>58</v>
      </c>
      <c r="D109" s="14" t="s">
        <v>264</v>
      </c>
      <c r="E109" s="14" t="s">
        <v>137</v>
      </c>
      <c r="F109" s="19"/>
      <c r="G109" s="14"/>
      <c r="H109" s="14" t="s">
        <v>260</v>
      </c>
      <c r="I109" s="13"/>
    </row>
    <row r="110" spans="1:9" ht="15" customHeight="1" x14ac:dyDescent="0.45">
      <c r="A110" s="14">
        <v>109</v>
      </c>
      <c r="B110" s="13" t="s">
        <v>369</v>
      </c>
      <c r="C110" s="14" t="s">
        <v>58</v>
      </c>
      <c r="D110" s="14" t="s">
        <v>264</v>
      </c>
      <c r="E110" s="14" t="s">
        <v>137</v>
      </c>
      <c r="F110" s="19"/>
      <c r="G110" s="14"/>
      <c r="H110" s="14" t="s">
        <v>260</v>
      </c>
      <c r="I110" s="13"/>
    </row>
    <row r="111" spans="1:9" ht="15" customHeight="1" x14ac:dyDescent="0.45">
      <c r="A111" s="14">
        <v>110</v>
      </c>
      <c r="B111" s="13" t="s">
        <v>370</v>
      </c>
      <c r="C111" s="14" t="s">
        <v>58</v>
      </c>
      <c r="D111" s="14" t="s">
        <v>264</v>
      </c>
      <c r="E111" s="14" t="s">
        <v>137</v>
      </c>
      <c r="F111" s="19"/>
      <c r="G111" s="14"/>
      <c r="H111" s="14" t="s">
        <v>260</v>
      </c>
      <c r="I111" s="13"/>
    </row>
    <row r="112" spans="1:9" ht="15" customHeight="1" x14ac:dyDescent="0.45">
      <c r="A112" s="14">
        <v>111</v>
      </c>
      <c r="B112" s="13" t="s">
        <v>371</v>
      </c>
      <c r="C112" s="14" t="s">
        <v>59</v>
      </c>
      <c r="D112" s="14" t="s">
        <v>264</v>
      </c>
      <c r="E112" s="14" t="s">
        <v>137</v>
      </c>
      <c r="F112" s="19"/>
      <c r="G112" s="14"/>
      <c r="H112" s="14" t="s">
        <v>260</v>
      </c>
      <c r="I112" s="13"/>
    </row>
    <row r="113" spans="1:9" ht="15" customHeight="1" x14ac:dyDescent="0.45">
      <c r="A113" s="14">
        <v>112</v>
      </c>
      <c r="B113" s="13" t="s">
        <v>372</v>
      </c>
      <c r="C113" s="14" t="s">
        <v>59</v>
      </c>
      <c r="D113" s="14" t="s">
        <v>264</v>
      </c>
      <c r="E113" s="14" t="s">
        <v>137</v>
      </c>
      <c r="F113" s="19"/>
      <c r="G113" s="14"/>
      <c r="H113" s="14" t="s">
        <v>260</v>
      </c>
      <c r="I113" s="13"/>
    </row>
    <row r="114" spans="1:9" ht="15" customHeight="1" x14ac:dyDescent="0.45">
      <c r="A114" s="14">
        <v>113</v>
      </c>
      <c r="B114" s="13" t="s">
        <v>373</v>
      </c>
      <c r="C114" s="14" t="s">
        <v>59</v>
      </c>
      <c r="D114" s="14" t="s">
        <v>264</v>
      </c>
      <c r="E114" s="14" t="s">
        <v>137</v>
      </c>
      <c r="F114" s="19"/>
      <c r="G114" s="14"/>
      <c r="H114" s="14" t="s">
        <v>260</v>
      </c>
      <c r="I114" s="13"/>
    </row>
    <row r="115" spans="1:9" ht="15" customHeight="1" x14ac:dyDescent="0.45">
      <c r="A115" s="14">
        <v>114</v>
      </c>
      <c r="B115" s="13" t="s">
        <v>374</v>
      </c>
      <c r="C115" s="14" t="s">
        <v>59</v>
      </c>
      <c r="D115" s="14" t="s">
        <v>264</v>
      </c>
      <c r="E115" s="14" t="s">
        <v>137</v>
      </c>
      <c r="F115" s="19"/>
      <c r="G115" s="14"/>
      <c r="H115" s="14" t="s">
        <v>260</v>
      </c>
      <c r="I115" s="13"/>
    </row>
    <row r="116" spans="1:9" ht="15" customHeight="1" x14ac:dyDescent="0.45">
      <c r="A116" s="14">
        <v>115</v>
      </c>
      <c r="B116" s="13" t="s">
        <v>375</v>
      </c>
      <c r="C116" s="14" t="s">
        <v>59</v>
      </c>
      <c r="D116" s="14" t="s">
        <v>264</v>
      </c>
      <c r="E116" s="14" t="s">
        <v>137</v>
      </c>
      <c r="F116" s="19"/>
      <c r="G116" s="14"/>
      <c r="H116" s="14" t="s">
        <v>260</v>
      </c>
      <c r="I116" s="13"/>
    </row>
    <row r="117" spans="1:9" ht="15" customHeight="1" x14ac:dyDescent="0.45">
      <c r="A117" s="14">
        <v>116</v>
      </c>
      <c r="B117" s="13" t="s">
        <v>376</v>
      </c>
      <c r="C117" s="14" t="s">
        <v>59</v>
      </c>
      <c r="D117" s="14" t="s">
        <v>264</v>
      </c>
      <c r="E117" s="14" t="s">
        <v>137</v>
      </c>
      <c r="F117" s="19"/>
      <c r="G117" s="14"/>
      <c r="H117" s="14" t="s">
        <v>260</v>
      </c>
      <c r="I117" s="13"/>
    </row>
    <row r="118" spans="1:9" ht="15" customHeight="1" x14ac:dyDescent="0.45">
      <c r="A118" s="14">
        <v>117</v>
      </c>
      <c r="B118" s="13" t="s">
        <v>377</v>
      </c>
      <c r="C118" s="14" t="s">
        <v>59</v>
      </c>
      <c r="D118" s="14" t="s">
        <v>275</v>
      </c>
      <c r="E118" s="14" t="s">
        <v>137</v>
      </c>
      <c r="F118" s="19"/>
      <c r="G118" s="14"/>
      <c r="H118" s="14" t="s">
        <v>260</v>
      </c>
      <c r="I118" s="13"/>
    </row>
    <row r="119" spans="1:9" ht="15" customHeight="1" x14ac:dyDescent="0.45">
      <c r="A119" s="14">
        <v>118</v>
      </c>
      <c r="B119" s="13" t="s">
        <v>378</v>
      </c>
      <c r="C119" s="14" t="s">
        <v>59</v>
      </c>
      <c r="D119" s="14" t="s">
        <v>275</v>
      </c>
      <c r="E119" s="14" t="s">
        <v>137</v>
      </c>
      <c r="F119" s="19"/>
      <c r="G119" s="14"/>
      <c r="H119" s="14" t="s">
        <v>260</v>
      </c>
      <c r="I119" s="13"/>
    </row>
    <row r="120" spans="1:9" ht="15" customHeight="1" x14ac:dyDescent="0.45">
      <c r="A120" s="14">
        <v>119</v>
      </c>
      <c r="B120" s="13" t="s">
        <v>379</v>
      </c>
      <c r="C120" s="14" t="s">
        <v>59</v>
      </c>
      <c r="D120" s="14" t="s">
        <v>275</v>
      </c>
      <c r="E120" s="14" t="s">
        <v>137</v>
      </c>
      <c r="F120" s="19"/>
      <c r="G120" s="14"/>
      <c r="H120" s="14" t="s">
        <v>260</v>
      </c>
      <c r="I120" s="13"/>
    </row>
    <row r="121" spans="1:9" ht="15" customHeight="1" x14ac:dyDescent="0.45">
      <c r="A121" s="14">
        <v>120</v>
      </c>
      <c r="B121" s="13" t="s">
        <v>380</v>
      </c>
      <c r="C121" s="14" t="s">
        <v>59</v>
      </c>
      <c r="D121" s="14" t="s">
        <v>275</v>
      </c>
      <c r="E121" s="14" t="s">
        <v>137</v>
      </c>
      <c r="F121" s="19"/>
      <c r="G121" s="14"/>
      <c r="H121" s="14" t="s">
        <v>260</v>
      </c>
      <c r="I121" s="13"/>
    </row>
    <row r="122" spans="1:9" ht="15" customHeight="1" x14ac:dyDescent="0.45">
      <c r="A122" s="14">
        <v>121</v>
      </c>
      <c r="B122" s="13" t="s">
        <v>381</v>
      </c>
      <c r="C122" s="14" t="s">
        <v>59</v>
      </c>
      <c r="D122" s="14" t="s">
        <v>275</v>
      </c>
      <c r="E122" s="14" t="s">
        <v>137</v>
      </c>
      <c r="F122" s="19"/>
      <c r="G122" s="14"/>
      <c r="H122" s="14" t="s">
        <v>260</v>
      </c>
      <c r="I122" s="13"/>
    </row>
    <row r="123" spans="1:9" ht="15" customHeight="1" x14ac:dyDescent="0.45">
      <c r="A123" s="14">
        <v>122</v>
      </c>
      <c r="B123" s="13" t="s">
        <v>382</v>
      </c>
      <c r="C123" s="14" t="s">
        <v>60</v>
      </c>
      <c r="D123" s="14" t="s">
        <v>264</v>
      </c>
      <c r="E123" s="14" t="s">
        <v>137</v>
      </c>
      <c r="F123" s="19"/>
      <c r="G123" s="14"/>
      <c r="H123" s="14" t="s">
        <v>260</v>
      </c>
      <c r="I123" s="13"/>
    </row>
    <row r="124" spans="1:9" ht="15" customHeight="1" x14ac:dyDescent="0.45">
      <c r="A124" s="14">
        <v>123</v>
      </c>
      <c r="B124" s="13" t="s">
        <v>383</v>
      </c>
      <c r="C124" s="14" t="s">
        <v>60</v>
      </c>
      <c r="D124" s="14" t="s">
        <v>264</v>
      </c>
      <c r="E124" s="14" t="s">
        <v>137</v>
      </c>
      <c r="F124" s="19"/>
      <c r="G124" s="14"/>
      <c r="H124" s="14" t="s">
        <v>260</v>
      </c>
      <c r="I124" s="13"/>
    </row>
    <row r="125" spans="1:9" ht="15" customHeight="1" x14ac:dyDescent="0.45">
      <c r="A125" s="14">
        <v>124</v>
      </c>
      <c r="B125" s="13" t="s">
        <v>384</v>
      </c>
      <c r="C125" s="14" t="s">
        <v>60</v>
      </c>
      <c r="D125" s="14" t="s">
        <v>264</v>
      </c>
      <c r="E125" s="14" t="s">
        <v>137</v>
      </c>
      <c r="F125" s="19"/>
      <c r="G125" s="14"/>
      <c r="H125" s="14" t="s">
        <v>260</v>
      </c>
      <c r="I125" s="13"/>
    </row>
    <row r="126" spans="1:9" ht="15" customHeight="1" x14ac:dyDescent="0.45">
      <c r="A126" s="14">
        <v>125</v>
      </c>
      <c r="B126" s="13" t="s">
        <v>385</v>
      </c>
      <c r="C126" s="14" t="s">
        <v>60</v>
      </c>
      <c r="D126" s="14" t="s">
        <v>264</v>
      </c>
      <c r="E126" s="14" t="s">
        <v>137</v>
      </c>
      <c r="F126" s="19"/>
      <c r="G126" s="14"/>
      <c r="H126" s="14" t="s">
        <v>260</v>
      </c>
      <c r="I126" s="13"/>
    </row>
    <row r="127" spans="1:9" ht="15" customHeight="1" x14ac:dyDescent="0.45">
      <c r="A127" s="14">
        <v>126</v>
      </c>
      <c r="B127" s="13" t="s">
        <v>386</v>
      </c>
      <c r="C127" s="14" t="s">
        <v>60</v>
      </c>
      <c r="D127" s="14" t="s">
        <v>264</v>
      </c>
      <c r="E127" s="14" t="s">
        <v>137</v>
      </c>
      <c r="F127" s="19"/>
      <c r="G127" s="14"/>
      <c r="H127" s="14" t="s">
        <v>260</v>
      </c>
      <c r="I127" s="13"/>
    </row>
    <row r="128" spans="1:9" ht="15" customHeight="1" x14ac:dyDescent="0.45">
      <c r="A128" s="14">
        <v>127</v>
      </c>
      <c r="B128" s="13" t="s">
        <v>387</v>
      </c>
      <c r="C128" s="14" t="s">
        <v>60</v>
      </c>
      <c r="D128" s="14" t="s">
        <v>264</v>
      </c>
      <c r="E128" s="14" t="s">
        <v>137</v>
      </c>
      <c r="F128" s="19"/>
      <c r="G128" s="14"/>
      <c r="H128" s="14" t="s">
        <v>260</v>
      </c>
      <c r="I128" s="13"/>
    </row>
    <row r="129" spans="1:9" ht="15" customHeight="1" x14ac:dyDescent="0.45">
      <c r="A129" s="14">
        <v>128</v>
      </c>
      <c r="B129" s="13" t="s">
        <v>388</v>
      </c>
      <c r="C129" s="14" t="s">
        <v>60</v>
      </c>
      <c r="D129" s="14" t="s">
        <v>264</v>
      </c>
      <c r="E129" s="14" t="s">
        <v>137</v>
      </c>
      <c r="F129" s="19"/>
      <c r="G129" s="14"/>
      <c r="H129" s="14" t="s">
        <v>260</v>
      </c>
      <c r="I129" s="13"/>
    </row>
    <row r="130" spans="1:9" ht="15" customHeight="1" x14ac:dyDescent="0.45">
      <c r="A130" s="14">
        <v>129</v>
      </c>
      <c r="B130" s="13" t="s">
        <v>389</v>
      </c>
      <c r="C130" s="14" t="s">
        <v>60</v>
      </c>
      <c r="D130" s="14" t="s">
        <v>264</v>
      </c>
      <c r="E130" s="14" t="s">
        <v>137</v>
      </c>
      <c r="F130" s="19"/>
      <c r="G130" s="14"/>
      <c r="H130" s="14" t="s">
        <v>260</v>
      </c>
      <c r="I130" s="13"/>
    </row>
    <row r="131" spans="1:9" ht="15" customHeight="1" x14ac:dyDescent="0.45">
      <c r="A131" s="14">
        <v>130</v>
      </c>
      <c r="B131" s="13" t="s">
        <v>390</v>
      </c>
      <c r="C131" s="14" t="s">
        <v>61</v>
      </c>
      <c r="D131" s="14" t="s">
        <v>264</v>
      </c>
      <c r="E131" s="14" t="s">
        <v>137</v>
      </c>
      <c r="F131" s="19"/>
      <c r="G131" s="14"/>
      <c r="H131" s="14" t="s">
        <v>260</v>
      </c>
      <c r="I131" s="13"/>
    </row>
    <row r="132" spans="1:9" ht="15" customHeight="1" x14ac:dyDescent="0.45">
      <c r="A132" s="14">
        <v>131</v>
      </c>
      <c r="B132" s="13" t="s">
        <v>391</v>
      </c>
      <c r="C132" s="14" t="s">
        <v>61</v>
      </c>
      <c r="D132" s="14" t="s">
        <v>264</v>
      </c>
      <c r="E132" s="14" t="s">
        <v>137</v>
      </c>
      <c r="F132" s="19"/>
      <c r="G132" s="14"/>
      <c r="H132" s="14" t="s">
        <v>260</v>
      </c>
      <c r="I132" s="13"/>
    </row>
    <row r="133" spans="1:9" ht="15" customHeight="1" x14ac:dyDescent="0.45">
      <c r="A133" s="14">
        <v>132</v>
      </c>
      <c r="B133" s="13" t="s">
        <v>392</v>
      </c>
      <c r="C133" s="14" t="s">
        <v>61</v>
      </c>
      <c r="D133" s="14" t="s">
        <v>264</v>
      </c>
      <c r="E133" s="14" t="s">
        <v>137</v>
      </c>
      <c r="F133" s="19"/>
      <c r="G133" s="14"/>
      <c r="H133" s="14" t="s">
        <v>260</v>
      </c>
      <c r="I133" s="13"/>
    </row>
    <row r="134" spans="1:9" ht="15" customHeight="1" x14ac:dyDescent="0.45">
      <c r="A134" s="14">
        <v>133</v>
      </c>
      <c r="B134" s="13" t="s">
        <v>393</v>
      </c>
      <c r="C134" s="14" t="s">
        <v>61</v>
      </c>
      <c r="D134" s="14" t="s">
        <v>259</v>
      </c>
      <c r="E134" s="14" t="s">
        <v>137</v>
      </c>
      <c r="F134" s="19"/>
      <c r="G134" s="14"/>
      <c r="H134" s="14" t="s">
        <v>260</v>
      </c>
      <c r="I134" s="13"/>
    </row>
    <row r="135" spans="1:9" ht="15" customHeight="1" x14ac:dyDescent="0.45">
      <c r="A135" s="14">
        <v>134</v>
      </c>
      <c r="B135" s="13" t="s">
        <v>394</v>
      </c>
      <c r="C135" s="14" t="s">
        <v>61</v>
      </c>
      <c r="D135" s="14" t="s">
        <v>264</v>
      </c>
      <c r="E135" s="14" t="s">
        <v>137</v>
      </c>
      <c r="F135" s="19"/>
      <c r="G135" s="14"/>
      <c r="H135" s="14" t="s">
        <v>260</v>
      </c>
      <c r="I135" s="13"/>
    </row>
    <row r="136" spans="1:9" ht="15" customHeight="1" x14ac:dyDescent="0.45">
      <c r="A136" s="14">
        <v>135</v>
      </c>
      <c r="B136" s="13" t="s">
        <v>395</v>
      </c>
      <c r="C136" s="14" t="s">
        <v>61</v>
      </c>
      <c r="D136" s="14" t="s">
        <v>275</v>
      </c>
      <c r="E136" s="14" t="s">
        <v>137</v>
      </c>
      <c r="F136" s="19"/>
      <c r="G136" s="14"/>
      <c r="H136" s="14" t="s">
        <v>260</v>
      </c>
      <c r="I136" s="13"/>
    </row>
    <row r="137" spans="1:9" ht="15" customHeight="1" x14ac:dyDescent="0.45">
      <c r="A137" s="14">
        <v>136</v>
      </c>
      <c r="B137" s="13" t="s">
        <v>396</v>
      </c>
      <c r="C137" s="14" t="s">
        <v>62</v>
      </c>
      <c r="D137" s="14" t="s">
        <v>264</v>
      </c>
      <c r="E137" s="14" t="s">
        <v>137</v>
      </c>
      <c r="F137" s="19"/>
      <c r="G137" s="14"/>
      <c r="H137" s="14" t="s">
        <v>260</v>
      </c>
      <c r="I137" s="13"/>
    </row>
    <row r="138" spans="1:9" ht="15" customHeight="1" x14ac:dyDescent="0.45">
      <c r="A138" s="14">
        <v>137</v>
      </c>
      <c r="B138" s="13" t="s">
        <v>397</v>
      </c>
      <c r="C138" s="14" t="s">
        <v>62</v>
      </c>
      <c r="D138" s="14" t="s">
        <v>264</v>
      </c>
      <c r="E138" s="14" t="s">
        <v>137</v>
      </c>
      <c r="F138" s="19"/>
      <c r="G138" s="14"/>
      <c r="H138" s="14" t="s">
        <v>260</v>
      </c>
      <c r="I138" s="13"/>
    </row>
    <row r="139" spans="1:9" ht="15" customHeight="1" x14ac:dyDescent="0.45">
      <c r="A139" s="14">
        <v>138</v>
      </c>
      <c r="B139" s="13" t="s">
        <v>398</v>
      </c>
      <c r="C139" s="14" t="s">
        <v>62</v>
      </c>
      <c r="D139" s="14" t="s">
        <v>264</v>
      </c>
      <c r="E139" s="14" t="s">
        <v>137</v>
      </c>
      <c r="F139" s="19"/>
      <c r="G139" s="14"/>
      <c r="H139" s="14" t="s">
        <v>260</v>
      </c>
      <c r="I139" s="13"/>
    </row>
    <row r="140" spans="1:9" ht="15" customHeight="1" x14ac:dyDescent="0.45">
      <c r="A140" s="14">
        <v>139</v>
      </c>
      <c r="B140" s="13" t="s">
        <v>399</v>
      </c>
      <c r="C140" s="14" t="s">
        <v>62</v>
      </c>
      <c r="D140" s="14" t="s">
        <v>259</v>
      </c>
      <c r="E140" s="14" t="s">
        <v>137</v>
      </c>
      <c r="F140" s="19"/>
      <c r="G140" s="14"/>
      <c r="H140" s="14" t="s">
        <v>260</v>
      </c>
      <c r="I140" s="13"/>
    </row>
    <row r="141" spans="1:9" ht="15" customHeight="1" x14ac:dyDescent="0.45">
      <c r="A141" s="14">
        <v>140</v>
      </c>
      <c r="B141" s="13" t="s">
        <v>400</v>
      </c>
      <c r="C141" s="14" t="s">
        <v>62</v>
      </c>
      <c r="D141" s="14" t="s">
        <v>259</v>
      </c>
      <c r="E141" s="14" t="s">
        <v>137</v>
      </c>
      <c r="F141" s="19"/>
      <c r="G141" s="14"/>
      <c r="H141" s="14" t="s">
        <v>260</v>
      </c>
      <c r="I141" s="13"/>
    </row>
    <row r="142" spans="1:9" ht="15" customHeight="1" x14ac:dyDescent="0.45">
      <c r="A142" s="14">
        <v>141</v>
      </c>
      <c r="B142" s="13" t="s">
        <v>401</v>
      </c>
      <c r="C142" s="14" t="s">
        <v>62</v>
      </c>
      <c r="D142" s="14" t="s">
        <v>264</v>
      </c>
      <c r="E142" s="14" t="s">
        <v>137</v>
      </c>
      <c r="F142" s="19"/>
      <c r="G142" s="14"/>
      <c r="H142" s="14" t="s">
        <v>260</v>
      </c>
      <c r="I142" s="13"/>
    </row>
    <row r="143" spans="1:9" ht="15" customHeight="1" x14ac:dyDescent="0.45">
      <c r="A143" s="14">
        <v>142</v>
      </c>
      <c r="B143" s="13" t="s">
        <v>402</v>
      </c>
      <c r="C143" s="14" t="s">
        <v>62</v>
      </c>
      <c r="D143" s="14" t="s">
        <v>264</v>
      </c>
      <c r="E143" s="14" t="s">
        <v>137</v>
      </c>
      <c r="F143" s="19"/>
      <c r="G143" s="14"/>
      <c r="H143" s="14" t="s">
        <v>260</v>
      </c>
      <c r="I143" s="13"/>
    </row>
    <row r="144" spans="1:9" ht="15" customHeight="1" x14ac:dyDescent="0.45">
      <c r="A144" s="14">
        <v>143</v>
      </c>
      <c r="B144" s="13" t="s">
        <v>403</v>
      </c>
      <c r="C144" s="14" t="s">
        <v>62</v>
      </c>
      <c r="D144" s="14" t="s">
        <v>264</v>
      </c>
      <c r="E144" s="14" t="s">
        <v>137</v>
      </c>
      <c r="F144" s="19"/>
      <c r="G144" s="14"/>
      <c r="H144" s="14" t="s">
        <v>260</v>
      </c>
      <c r="I144" s="13"/>
    </row>
    <row r="145" spans="1:9" ht="15" customHeight="1" x14ac:dyDescent="0.45">
      <c r="A145" s="14">
        <v>144</v>
      </c>
      <c r="B145" s="13" t="s">
        <v>404</v>
      </c>
      <c r="C145" s="14" t="s">
        <v>63</v>
      </c>
      <c r="D145" s="14" t="s">
        <v>259</v>
      </c>
      <c r="E145" s="14" t="s">
        <v>137</v>
      </c>
      <c r="F145" s="19"/>
      <c r="G145" s="14"/>
      <c r="H145" s="14" t="s">
        <v>260</v>
      </c>
      <c r="I145" s="13"/>
    </row>
    <row r="146" spans="1:9" ht="15" customHeight="1" x14ac:dyDescent="0.45">
      <c r="A146" s="14">
        <v>145</v>
      </c>
      <c r="B146" s="13" t="s">
        <v>405</v>
      </c>
      <c r="C146" s="14" t="s">
        <v>63</v>
      </c>
      <c r="D146" s="14" t="s">
        <v>259</v>
      </c>
      <c r="E146" s="14" t="s">
        <v>137</v>
      </c>
      <c r="F146" s="19"/>
      <c r="G146" s="14"/>
      <c r="H146" s="14" t="s">
        <v>260</v>
      </c>
      <c r="I146" s="13"/>
    </row>
    <row r="147" spans="1:9" ht="15" customHeight="1" x14ac:dyDescent="0.45">
      <c r="A147" s="14">
        <v>146</v>
      </c>
      <c r="B147" s="13" t="s">
        <v>406</v>
      </c>
      <c r="C147" s="14" t="s">
        <v>63</v>
      </c>
      <c r="D147" s="14" t="s">
        <v>259</v>
      </c>
      <c r="E147" s="14" t="s">
        <v>137</v>
      </c>
      <c r="F147" s="19"/>
      <c r="G147" s="14"/>
      <c r="H147" s="14" t="s">
        <v>260</v>
      </c>
      <c r="I147" s="13"/>
    </row>
    <row r="148" spans="1:9" ht="15" customHeight="1" x14ac:dyDescent="0.45">
      <c r="A148" s="14">
        <v>147</v>
      </c>
      <c r="B148" s="13" t="s">
        <v>407</v>
      </c>
      <c r="C148" s="14" t="s">
        <v>63</v>
      </c>
      <c r="D148" s="14" t="s">
        <v>259</v>
      </c>
      <c r="E148" s="14" t="s">
        <v>137</v>
      </c>
      <c r="F148" s="19"/>
      <c r="G148" s="14"/>
      <c r="H148" s="14" t="s">
        <v>260</v>
      </c>
      <c r="I148" s="13"/>
    </row>
    <row r="149" spans="1:9" ht="15" customHeight="1" x14ac:dyDescent="0.45">
      <c r="A149" s="14">
        <v>148</v>
      </c>
      <c r="B149" s="13" t="s">
        <v>408</v>
      </c>
      <c r="C149" s="14" t="s">
        <v>63</v>
      </c>
      <c r="D149" s="14" t="s">
        <v>259</v>
      </c>
      <c r="E149" s="14" t="s">
        <v>137</v>
      </c>
      <c r="F149" s="19"/>
      <c r="G149" s="14"/>
      <c r="H149" s="14" t="s">
        <v>260</v>
      </c>
      <c r="I149" s="13"/>
    </row>
    <row r="150" spans="1:9" ht="15" customHeight="1" x14ac:dyDescent="0.45">
      <c r="A150" s="14">
        <v>149</v>
      </c>
      <c r="B150" s="13" t="s">
        <v>409</v>
      </c>
      <c r="C150" s="14" t="s">
        <v>63</v>
      </c>
      <c r="D150" s="14" t="s">
        <v>264</v>
      </c>
      <c r="E150" s="14" t="s">
        <v>137</v>
      </c>
      <c r="F150" s="19"/>
      <c r="G150" s="14"/>
      <c r="H150" s="14" t="s">
        <v>260</v>
      </c>
      <c r="I150" s="13"/>
    </row>
    <row r="151" spans="1:9" ht="15" customHeight="1" x14ac:dyDescent="0.45">
      <c r="A151" s="14">
        <v>150</v>
      </c>
      <c r="B151" s="13" t="s">
        <v>410</v>
      </c>
      <c r="C151" s="14" t="s">
        <v>63</v>
      </c>
      <c r="D151" s="14" t="s">
        <v>264</v>
      </c>
      <c r="E151" s="14" t="s">
        <v>137</v>
      </c>
      <c r="F151" s="19"/>
      <c r="G151" s="14"/>
      <c r="H151" s="14" t="s">
        <v>260</v>
      </c>
      <c r="I151" s="13"/>
    </row>
  </sheetData>
  <conditionalFormatting sqref="D2:D151">
    <cfRule type="cellIs" dxfId="21" priority="4" operator="equal">
      <formula>"Easy"</formula>
    </cfRule>
    <cfRule type="cellIs" dxfId="20" priority="5" operator="equal">
      <formula>"Medium"</formula>
    </cfRule>
    <cfRule type="cellIs" dxfId="19" priority="6" operator="equal">
      <formula>"Hard"</formula>
    </cfRule>
  </conditionalFormatting>
  <conditionalFormatting sqref="E2:E151">
    <cfRule type="cellIs" dxfId="18" priority="2" operator="equal">
      <formula>"Done"</formula>
    </cfRule>
    <cfRule type="cellIs" dxfId="17" priority="3" operator="equal">
      <formula>"Doing"</formula>
    </cfRule>
  </conditionalFormatting>
  <dataValidations count="1">
    <dataValidation type="list" allowBlank="1" sqref="E2:E151" xr:uid="{00000000-0002-0000-0400-000000000000}">
      <formula1>"Todo,Doing,Done,Skipped"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4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25" x14ac:dyDescent="0.45"/>
  <cols>
    <col min="1" max="1" width="12" customWidth="1"/>
    <col min="2" max="2" width="14" customWidth="1"/>
    <col min="3" max="3" width="50" customWidth="1"/>
    <col min="4" max="4" width="12" customWidth="1"/>
    <col min="5" max="5" width="10" customWidth="1"/>
    <col min="6" max="6" width="13" customWidth="1"/>
    <col min="7" max="7" width="35" customWidth="1"/>
    <col min="8" max="8" width="9" customWidth="1"/>
    <col min="9" max="10" width="10" customWidth="1"/>
    <col min="11" max="11" width="50" customWidth="1"/>
    <col min="12" max="12" width="30" customWidth="1"/>
  </cols>
  <sheetData>
    <row r="1" spans="1:12" ht="27.75" customHeight="1" x14ac:dyDescent="0.45">
      <c r="A1" s="10" t="s">
        <v>411</v>
      </c>
      <c r="B1" s="10" t="s">
        <v>412</v>
      </c>
      <c r="C1" s="10" t="s">
        <v>413</v>
      </c>
      <c r="D1" s="10" t="s">
        <v>414</v>
      </c>
      <c r="E1" s="10" t="s">
        <v>131</v>
      </c>
      <c r="F1" s="10" t="s">
        <v>415</v>
      </c>
      <c r="G1" s="10" t="s">
        <v>416</v>
      </c>
      <c r="H1" s="10" t="s">
        <v>132</v>
      </c>
      <c r="I1" s="10" t="s">
        <v>417</v>
      </c>
      <c r="J1" s="10" t="s">
        <v>83</v>
      </c>
      <c r="K1" s="10" t="s">
        <v>418</v>
      </c>
      <c r="L1" s="10" t="s">
        <v>129</v>
      </c>
    </row>
    <row r="2" spans="1:12" ht="15" customHeight="1" x14ac:dyDescent="0.45">
      <c r="A2" s="14" t="s">
        <v>419</v>
      </c>
      <c r="B2" s="13" t="s">
        <v>420</v>
      </c>
      <c r="C2" s="13" t="s">
        <v>421</v>
      </c>
      <c r="D2" s="14" t="s">
        <v>422</v>
      </c>
      <c r="E2" s="14" t="s">
        <v>423</v>
      </c>
      <c r="F2" s="14" t="s">
        <v>424</v>
      </c>
      <c r="G2" s="13" t="s">
        <v>425</v>
      </c>
      <c r="H2" s="14">
        <v>30</v>
      </c>
      <c r="I2" s="14">
        <v>0</v>
      </c>
      <c r="J2" s="14" t="s">
        <v>137</v>
      </c>
      <c r="K2" s="13" t="s">
        <v>426</v>
      </c>
      <c r="L2" s="13"/>
    </row>
    <row r="3" spans="1:12" ht="23.25" customHeight="1" x14ac:dyDescent="0.45">
      <c r="A3" s="14" t="s">
        <v>419</v>
      </c>
      <c r="B3" s="13" t="s">
        <v>420</v>
      </c>
      <c r="C3" s="13" t="s">
        <v>427</v>
      </c>
      <c r="D3" s="14" t="s">
        <v>422</v>
      </c>
      <c r="E3" s="14" t="s">
        <v>428</v>
      </c>
      <c r="F3" s="14" t="s">
        <v>429</v>
      </c>
      <c r="G3" s="13" t="s">
        <v>430</v>
      </c>
      <c r="H3" s="14">
        <v>25</v>
      </c>
      <c r="I3" s="14">
        <v>0</v>
      </c>
      <c r="J3" s="14" t="s">
        <v>137</v>
      </c>
      <c r="K3" s="13" t="s">
        <v>431</v>
      </c>
      <c r="L3" s="13"/>
    </row>
    <row r="4" spans="1:12" ht="15" customHeight="1" x14ac:dyDescent="0.45">
      <c r="A4" s="14" t="s">
        <v>432</v>
      </c>
      <c r="B4" s="13" t="s">
        <v>420</v>
      </c>
      <c r="C4" s="13" t="s">
        <v>433</v>
      </c>
      <c r="D4" s="14" t="s">
        <v>422</v>
      </c>
      <c r="E4" s="14" t="s">
        <v>423</v>
      </c>
      <c r="F4" s="14" t="s">
        <v>429</v>
      </c>
      <c r="G4" s="13" t="s">
        <v>434</v>
      </c>
      <c r="H4" s="14">
        <v>2</v>
      </c>
      <c r="I4" s="14">
        <v>0</v>
      </c>
      <c r="J4" s="14" t="s">
        <v>137</v>
      </c>
      <c r="K4" s="13" t="s">
        <v>435</v>
      </c>
      <c r="L4" s="13"/>
    </row>
    <row r="5" spans="1:12" ht="15" customHeight="1" x14ac:dyDescent="0.45">
      <c r="A5" s="14" t="s">
        <v>432</v>
      </c>
      <c r="B5" s="13" t="s">
        <v>420</v>
      </c>
      <c r="C5" s="13" t="s">
        <v>436</v>
      </c>
      <c r="D5" s="14" t="s">
        <v>422</v>
      </c>
      <c r="E5" s="14" t="s">
        <v>428</v>
      </c>
      <c r="F5" s="14" t="s">
        <v>429</v>
      </c>
      <c r="G5" s="13" t="s">
        <v>437</v>
      </c>
      <c r="H5" s="14">
        <v>4</v>
      </c>
      <c r="I5" s="14">
        <v>0</v>
      </c>
      <c r="J5" s="14" t="s">
        <v>137</v>
      </c>
      <c r="K5" s="13" t="s">
        <v>438</v>
      </c>
      <c r="L5" s="13"/>
    </row>
    <row r="6" spans="1:12" ht="15" customHeight="1" x14ac:dyDescent="0.45">
      <c r="A6" s="14" t="s">
        <v>432</v>
      </c>
      <c r="B6" s="13" t="s">
        <v>420</v>
      </c>
      <c r="C6" s="13" t="s">
        <v>439</v>
      </c>
      <c r="D6" s="14" t="s">
        <v>440</v>
      </c>
      <c r="E6" s="14" t="s">
        <v>423</v>
      </c>
      <c r="F6" s="14" t="s">
        <v>441</v>
      </c>
      <c r="G6" s="13" t="s">
        <v>442</v>
      </c>
      <c r="H6" s="14">
        <v>6</v>
      </c>
      <c r="I6" s="14">
        <v>0</v>
      </c>
      <c r="J6" s="14" t="s">
        <v>137</v>
      </c>
      <c r="K6" s="13" t="s">
        <v>443</v>
      </c>
      <c r="L6" s="13"/>
    </row>
    <row r="7" spans="1:12" ht="15" customHeight="1" x14ac:dyDescent="0.45">
      <c r="A7" s="14" t="s">
        <v>432</v>
      </c>
      <c r="B7" s="13" t="s">
        <v>420</v>
      </c>
      <c r="C7" s="13" t="s">
        <v>444</v>
      </c>
      <c r="D7" s="14" t="s">
        <v>440</v>
      </c>
      <c r="E7" s="14" t="s">
        <v>428</v>
      </c>
      <c r="F7" s="14" t="s">
        <v>441</v>
      </c>
      <c r="G7" s="13" t="s">
        <v>442</v>
      </c>
      <c r="H7" s="14">
        <v>5</v>
      </c>
      <c r="I7" s="14">
        <v>0</v>
      </c>
      <c r="J7" s="14" t="s">
        <v>137</v>
      </c>
      <c r="K7" s="13" t="s">
        <v>445</v>
      </c>
      <c r="L7" s="13"/>
    </row>
    <row r="8" spans="1:12" ht="23.25" customHeight="1" x14ac:dyDescent="0.45">
      <c r="A8" s="14" t="s">
        <v>446</v>
      </c>
      <c r="B8" s="13" t="s">
        <v>447</v>
      </c>
      <c r="C8" s="13" t="s">
        <v>448</v>
      </c>
      <c r="D8" s="14" t="s">
        <v>422</v>
      </c>
      <c r="E8" s="14" t="s">
        <v>423</v>
      </c>
      <c r="F8" s="14" t="s">
        <v>449</v>
      </c>
      <c r="G8" s="13" t="s">
        <v>450</v>
      </c>
      <c r="H8" s="14">
        <v>40</v>
      </c>
      <c r="I8" s="14">
        <v>0</v>
      </c>
      <c r="J8" s="14" t="s">
        <v>137</v>
      </c>
      <c r="K8" s="13" t="s">
        <v>451</v>
      </c>
      <c r="L8" s="13"/>
    </row>
    <row r="9" spans="1:12" ht="23.25" customHeight="1" x14ac:dyDescent="0.45">
      <c r="A9" s="14" t="s">
        <v>446</v>
      </c>
      <c r="B9" s="13" t="s">
        <v>447</v>
      </c>
      <c r="C9" s="13" t="s">
        <v>452</v>
      </c>
      <c r="D9" s="14" t="s">
        <v>422</v>
      </c>
      <c r="E9" s="14" t="s">
        <v>428</v>
      </c>
      <c r="F9" s="14" t="s">
        <v>429</v>
      </c>
      <c r="G9" s="13" t="s">
        <v>453</v>
      </c>
      <c r="H9" s="14">
        <v>40</v>
      </c>
      <c r="I9" s="14">
        <v>0</v>
      </c>
      <c r="J9" s="14" t="s">
        <v>137</v>
      </c>
      <c r="K9" s="13" t="s">
        <v>454</v>
      </c>
      <c r="L9" s="13"/>
    </row>
    <row r="10" spans="1:12" ht="23.25" customHeight="1" x14ac:dyDescent="0.45">
      <c r="A10" s="14" t="s">
        <v>455</v>
      </c>
      <c r="B10" s="13" t="s">
        <v>447</v>
      </c>
      <c r="C10" s="13" t="s">
        <v>456</v>
      </c>
      <c r="D10" s="14" t="s">
        <v>457</v>
      </c>
      <c r="E10" s="14" t="s">
        <v>423</v>
      </c>
      <c r="F10" s="14" t="s">
        <v>429</v>
      </c>
      <c r="G10" s="13" t="s">
        <v>458</v>
      </c>
      <c r="H10" s="14">
        <v>8</v>
      </c>
      <c r="I10" s="14">
        <v>0</v>
      </c>
      <c r="J10" s="14" t="s">
        <v>137</v>
      </c>
      <c r="K10" s="13" t="s">
        <v>459</v>
      </c>
      <c r="L10" s="13"/>
    </row>
    <row r="11" spans="1:12" ht="15" customHeight="1" x14ac:dyDescent="0.45">
      <c r="A11" s="14" t="s">
        <v>455</v>
      </c>
      <c r="B11" s="13" t="s">
        <v>447</v>
      </c>
      <c r="C11" s="13" t="s">
        <v>460</v>
      </c>
      <c r="D11" s="14" t="s">
        <v>457</v>
      </c>
      <c r="E11" s="14" t="s">
        <v>428</v>
      </c>
      <c r="F11" s="14" t="s">
        <v>429</v>
      </c>
      <c r="G11" s="13" t="s">
        <v>461</v>
      </c>
      <c r="H11" s="14">
        <v>3</v>
      </c>
      <c r="I11" s="14">
        <v>0</v>
      </c>
      <c r="J11" s="14" t="s">
        <v>137</v>
      </c>
      <c r="K11" s="13" t="s">
        <v>462</v>
      </c>
      <c r="L11" s="13"/>
    </row>
    <row r="12" spans="1:12" ht="23.25" customHeight="1" x14ac:dyDescent="0.45">
      <c r="A12" s="14" t="s">
        <v>455</v>
      </c>
      <c r="B12" s="13" t="s">
        <v>447</v>
      </c>
      <c r="C12" s="13" t="s">
        <v>463</v>
      </c>
      <c r="D12" s="14" t="s">
        <v>440</v>
      </c>
      <c r="E12" s="14" t="s">
        <v>423</v>
      </c>
      <c r="F12" s="14" t="s">
        <v>464</v>
      </c>
      <c r="G12" s="13" t="s">
        <v>465</v>
      </c>
      <c r="H12" s="14">
        <v>8</v>
      </c>
      <c r="I12" s="14">
        <v>0</v>
      </c>
      <c r="J12" s="14" t="s">
        <v>137</v>
      </c>
      <c r="K12" s="13" t="s">
        <v>466</v>
      </c>
      <c r="L12" s="13"/>
    </row>
    <row r="13" spans="1:12" ht="15" customHeight="1" x14ac:dyDescent="0.45">
      <c r="A13" s="14" t="s">
        <v>455</v>
      </c>
      <c r="B13" s="13" t="s">
        <v>447</v>
      </c>
      <c r="C13" s="13" t="s">
        <v>467</v>
      </c>
      <c r="D13" s="14" t="s">
        <v>440</v>
      </c>
      <c r="E13" s="14" t="s">
        <v>428</v>
      </c>
      <c r="F13" s="14" t="s">
        <v>441</v>
      </c>
      <c r="G13" s="13" t="s">
        <v>442</v>
      </c>
      <c r="H13" s="14">
        <v>6</v>
      </c>
      <c r="I13" s="14">
        <v>0</v>
      </c>
      <c r="J13" s="14" t="s">
        <v>137</v>
      </c>
      <c r="K13" s="13" t="s">
        <v>468</v>
      </c>
      <c r="L13" s="13"/>
    </row>
    <row r="14" spans="1:12" ht="15" customHeight="1" x14ac:dyDescent="0.45">
      <c r="A14" s="14" t="s">
        <v>469</v>
      </c>
      <c r="B14" s="13" t="s">
        <v>470</v>
      </c>
      <c r="C14" s="13" t="s">
        <v>471</v>
      </c>
      <c r="D14" s="14" t="s">
        <v>440</v>
      </c>
      <c r="E14" s="14" t="s">
        <v>423</v>
      </c>
      <c r="F14" s="14" t="s">
        <v>441</v>
      </c>
      <c r="G14" s="13" t="s">
        <v>472</v>
      </c>
      <c r="H14" s="14">
        <v>8</v>
      </c>
      <c r="I14" s="14">
        <v>0</v>
      </c>
      <c r="J14" s="14" t="s">
        <v>137</v>
      </c>
      <c r="K14" s="13" t="s">
        <v>473</v>
      </c>
      <c r="L14" s="13"/>
    </row>
    <row r="15" spans="1:12" ht="15" customHeight="1" x14ac:dyDescent="0.45">
      <c r="A15" s="14" t="s">
        <v>469</v>
      </c>
      <c r="B15" s="13" t="s">
        <v>470</v>
      </c>
      <c r="C15" s="13" t="s">
        <v>474</v>
      </c>
      <c r="D15" s="14" t="s">
        <v>422</v>
      </c>
      <c r="E15" s="14" t="s">
        <v>428</v>
      </c>
      <c r="F15" s="14" t="s">
        <v>429</v>
      </c>
      <c r="G15" s="13" t="s">
        <v>475</v>
      </c>
      <c r="H15" s="14">
        <v>6</v>
      </c>
      <c r="I15" s="14">
        <v>0</v>
      </c>
      <c r="J15" s="14" t="s">
        <v>137</v>
      </c>
      <c r="K15" s="13" t="s">
        <v>476</v>
      </c>
      <c r="L15" s="13"/>
    </row>
    <row r="16" spans="1:12" ht="15" customHeight="1" x14ac:dyDescent="0.45">
      <c r="A16" s="14" t="s">
        <v>469</v>
      </c>
      <c r="B16" s="13" t="s">
        <v>470</v>
      </c>
      <c r="C16" s="13" t="s">
        <v>477</v>
      </c>
      <c r="D16" s="14" t="s">
        <v>440</v>
      </c>
      <c r="E16" s="14" t="s">
        <v>423</v>
      </c>
      <c r="F16" s="14" t="s">
        <v>441</v>
      </c>
      <c r="G16" s="13" t="s">
        <v>478</v>
      </c>
      <c r="H16" s="14">
        <v>4</v>
      </c>
      <c r="I16" s="14">
        <v>0</v>
      </c>
      <c r="J16" s="14" t="s">
        <v>137</v>
      </c>
      <c r="K16" s="13" t="s">
        <v>479</v>
      </c>
      <c r="L16" s="13"/>
    </row>
    <row r="17" spans="1:12" ht="15" customHeight="1" x14ac:dyDescent="0.45">
      <c r="A17" s="14" t="s">
        <v>480</v>
      </c>
      <c r="B17" s="13" t="s">
        <v>470</v>
      </c>
      <c r="C17" s="13" t="s">
        <v>481</v>
      </c>
      <c r="D17" s="14" t="s">
        <v>482</v>
      </c>
      <c r="E17" s="14" t="s">
        <v>423</v>
      </c>
      <c r="F17" s="14" t="s">
        <v>429</v>
      </c>
      <c r="G17" s="13" t="s">
        <v>483</v>
      </c>
      <c r="H17" s="14">
        <v>6</v>
      </c>
      <c r="I17" s="14">
        <v>0</v>
      </c>
      <c r="J17" s="14" t="s">
        <v>137</v>
      </c>
      <c r="K17" s="13" t="s">
        <v>484</v>
      </c>
      <c r="L17" s="13"/>
    </row>
    <row r="18" spans="1:12" ht="23.25" customHeight="1" x14ac:dyDescent="0.45">
      <c r="A18" s="14" t="s">
        <v>485</v>
      </c>
      <c r="B18" s="13" t="s">
        <v>486</v>
      </c>
      <c r="C18" s="13" t="s">
        <v>487</v>
      </c>
      <c r="D18" s="14" t="s">
        <v>488</v>
      </c>
      <c r="E18" s="14" t="s">
        <v>423</v>
      </c>
      <c r="F18" s="14" t="s">
        <v>429</v>
      </c>
      <c r="G18" s="13" t="s">
        <v>489</v>
      </c>
      <c r="H18" s="14">
        <v>4</v>
      </c>
      <c r="I18" s="14">
        <v>0</v>
      </c>
      <c r="J18" s="14" t="s">
        <v>137</v>
      </c>
      <c r="K18" s="13" t="s">
        <v>490</v>
      </c>
      <c r="L18" s="13"/>
    </row>
    <row r="19" spans="1:12" ht="15" customHeight="1" x14ac:dyDescent="0.45">
      <c r="A19" s="14" t="s">
        <v>485</v>
      </c>
      <c r="B19" s="13" t="s">
        <v>486</v>
      </c>
      <c r="C19" s="13" t="s">
        <v>491</v>
      </c>
      <c r="D19" s="14" t="s">
        <v>482</v>
      </c>
      <c r="E19" s="14" t="s">
        <v>428</v>
      </c>
      <c r="F19" s="14" t="s">
        <v>429</v>
      </c>
      <c r="G19" s="13" t="s">
        <v>492</v>
      </c>
      <c r="H19" s="14">
        <v>3</v>
      </c>
      <c r="I19" s="14">
        <v>0</v>
      </c>
      <c r="J19" s="14" t="s">
        <v>137</v>
      </c>
      <c r="K19" s="13" t="s">
        <v>493</v>
      </c>
      <c r="L19" s="13"/>
    </row>
    <row r="20" spans="1:12" ht="15" customHeight="1" x14ac:dyDescent="0.45">
      <c r="A20" s="14" t="s">
        <v>485</v>
      </c>
      <c r="B20" s="13" t="s">
        <v>486</v>
      </c>
      <c r="C20" s="13" t="s">
        <v>494</v>
      </c>
      <c r="D20" s="14" t="s">
        <v>440</v>
      </c>
      <c r="E20" s="14" t="s">
        <v>423</v>
      </c>
      <c r="F20" s="14" t="s">
        <v>429</v>
      </c>
      <c r="G20" s="13" t="s">
        <v>495</v>
      </c>
      <c r="H20" s="14">
        <v>6</v>
      </c>
      <c r="I20" s="14">
        <v>0</v>
      </c>
      <c r="J20" s="14" t="s">
        <v>137</v>
      </c>
      <c r="K20" s="13" t="s">
        <v>496</v>
      </c>
      <c r="L20" s="13"/>
    </row>
    <row r="21" spans="1:12" ht="23.25" customHeight="1" x14ac:dyDescent="0.45">
      <c r="A21" s="14" t="s">
        <v>497</v>
      </c>
      <c r="B21" s="13" t="s">
        <v>498</v>
      </c>
      <c r="C21" s="13" t="s">
        <v>499</v>
      </c>
      <c r="D21" s="14" t="s">
        <v>440</v>
      </c>
      <c r="E21" s="14" t="s">
        <v>423</v>
      </c>
      <c r="F21" s="14" t="s">
        <v>441</v>
      </c>
      <c r="G21" s="13" t="s">
        <v>442</v>
      </c>
      <c r="H21" s="14">
        <v>14</v>
      </c>
      <c r="I21" s="14">
        <v>0</v>
      </c>
      <c r="J21" s="14" t="s">
        <v>137</v>
      </c>
      <c r="K21" s="13" t="s">
        <v>500</v>
      </c>
      <c r="L21" s="13"/>
    </row>
    <row r="22" spans="1:12" ht="23.25" customHeight="1" x14ac:dyDescent="0.45">
      <c r="A22" s="14" t="s">
        <v>497</v>
      </c>
      <c r="B22" s="13" t="s">
        <v>498</v>
      </c>
      <c r="C22" s="13" t="s">
        <v>501</v>
      </c>
      <c r="D22" s="14" t="s">
        <v>502</v>
      </c>
      <c r="E22" s="14" t="s">
        <v>428</v>
      </c>
      <c r="F22" s="14" t="s">
        <v>429</v>
      </c>
      <c r="G22" s="13" t="s">
        <v>503</v>
      </c>
      <c r="H22" s="14">
        <v>6</v>
      </c>
      <c r="I22" s="14">
        <v>0</v>
      </c>
      <c r="J22" s="14" t="s">
        <v>137</v>
      </c>
      <c r="K22" s="13" t="s">
        <v>504</v>
      </c>
      <c r="L22" s="13"/>
    </row>
    <row r="23" spans="1:12" ht="15" customHeight="1" x14ac:dyDescent="0.45">
      <c r="A23" s="14" t="s">
        <v>497</v>
      </c>
      <c r="B23" s="13" t="s">
        <v>498</v>
      </c>
      <c r="C23" s="13" t="s">
        <v>505</v>
      </c>
      <c r="D23" s="14" t="s">
        <v>506</v>
      </c>
      <c r="E23" s="14" t="s">
        <v>423</v>
      </c>
      <c r="F23" s="14" t="s">
        <v>429</v>
      </c>
      <c r="G23" s="13" t="s">
        <v>507</v>
      </c>
      <c r="H23" s="14">
        <v>1</v>
      </c>
      <c r="I23" s="14">
        <v>0</v>
      </c>
      <c r="J23" s="14" t="s">
        <v>137</v>
      </c>
      <c r="K23" s="13" t="s">
        <v>508</v>
      </c>
      <c r="L23" s="13"/>
    </row>
    <row r="24" spans="1:12" ht="15" customHeight="1" x14ac:dyDescent="0.45">
      <c r="A24" s="14" t="s">
        <v>497</v>
      </c>
      <c r="B24" s="13" t="s">
        <v>498</v>
      </c>
      <c r="C24" s="13" t="s">
        <v>509</v>
      </c>
      <c r="D24" s="14" t="s">
        <v>510</v>
      </c>
      <c r="E24" s="14" t="s">
        <v>423</v>
      </c>
      <c r="F24" s="14" t="s">
        <v>429</v>
      </c>
      <c r="G24" s="13" t="s">
        <v>511</v>
      </c>
      <c r="H24" s="14">
        <v>2</v>
      </c>
      <c r="I24" s="14">
        <v>0</v>
      </c>
      <c r="J24" s="14" t="s">
        <v>137</v>
      </c>
      <c r="K24" s="13" t="s">
        <v>512</v>
      </c>
      <c r="L24" s="13"/>
    </row>
    <row r="25" spans="1:12" ht="15" customHeight="1" x14ac:dyDescent="0.45">
      <c r="A25" s="14" t="s">
        <v>513</v>
      </c>
      <c r="B25" s="13" t="s">
        <v>514</v>
      </c>
      <c r="C25" s="13" t="s">
        <v>515</v>
      </c>
      <c r="D25" s="14" t="s">
        <v>422</v>
      </c>
      <c r="E25" s="14" t="s">
        <v>423</v>
      </c>
      <c r="F25" s="14" t="s">
        <v>429</v>
      </c>
      <c r="G25" s="13" t="s">
        <v>516</v>
      </c>
      <c r="H25" s="14">
        <v>6</v>
      </c>
      <c r="I25" s="14">
        <v>0</v>
      </c>
      <c r="J25" s="14" t="s">
        <v>137</v>
      </c>
      <c r="K25" s="13" t="s">
        <v>517</v>
      </c>
      <c r="L25" s="13"/>
    </row>
    <row r="26" spans="1:12" ht="23.25" customHeight="1" x14ac:dyDescent="0.45">
      <c r="A26" s="14" t="s">
        <v>513</v>
      </c>
      <c r="B26" s="13" t="s">
        <v>514</v>
      </c>
      <c r="C26" s="13" t="s">
        <v>518</v>
      </c>
      <c r="D26" s="14" t="s">
        <v>422</v>
      </c>
      <c r="E26" s="14" t="s">
        <v>428</v>
      </c>
      <c r="F26" s="14" t="s">
        <v>429</v>
      </c>
      <c r="G26" s="13" t="s">
        <v>519</v>
      </c>
      <c r="H26" s="14">
        <v>3</v>
      </c>
      <c r="I26" s="14">
        <v>0</v>
      </c>
      <c r="J26" s="14" t="s">
        <v>137</v>
      </c>
      <c r="K26" s="13" t="s">
        <v>520</v>
      </c>
      <c r="L26" s="13"/>
    </row>
    <row r="27" spans="1:12" ht="23.25" customHeight="1" x14ac:dyDescent="0.45">
      <c r="A27" s="14" t="s">
        <v>521</v>
      </c>
      <c r="B27" s="13" t="s">
        <v>522</v>
      </c>
      <c r="C27" s="13" t="s">
        <v>523</v>
      </c>
      <c r="D27" s="14" t="s">
        <v>422</v>
      </c>
      <c r="E27" s="14" t="s">
        <v>423</v>
      </c>
      <c r="F27" s="14" t="s">
        <v>429</v>
      </c>
      <c r="G27" s="13" t="s">
        <v>524</v>
      </c>
      <c r="H27" s="14">
        <v>6</v>
      </c>
      <c r="I27" s="14">
        <v>0</v>
      </c>
      <c r="J27" s="14" t="s">
        <v>137</v>
      </c>
      <c r="K27" s="13" t="s">
        <v>525</v>
      </c>
      <c r="L27" s="13"/>
    </row>
    <row r="28" spans="1:12" ht="15" customHeight="1" x14ac:dyDescent="0.45">
      <c r="A28" s="14" t="s">
        <v>521</v>
      </c>
      <c r="B28" s="13" t="s">
        <v>522</v>
      </c>
      <c r="C28" s="13" t="s">
        <v>526</v>
      </c>
      <c r="D28" s="14" t="s">
        <v>482</v>
      </c>
      <c r="E28" s="14" t="s">
        <v>428</v>
      </c>
      <c r="F28" s="14" t="s">
        <v>429</v>
      </c>
      <c r="G28" s="13" t="s">
        <v>527</v>
      </c>
      <c r="H28" s="14">
        <v>3</v>
      </c>
      <c r="I28" s="14">
        <v>0</v>
      </c>
      <c r="J28" s="14" t="s">
        <v>137</v>
      </c>
      <c r="K28" s="13" t="s">
        <v>528</v>
      </c>
      <c r="L28" s="13"/>
    </row>
    <row r="29" spans="1:12" ht="15" customHeight="1" x14ac:dyDescent="0.45">
      <c r="A29" s="14" t="s">
        <v>529</v>
      </c>
      <c r="B29" s="13" t="s">
        <v>25</v>
      </c>
      <c r="C29" s="13" t="s">
        <v>530</v>
      </c>
      <c r="D29" s="14" t="s">
        <v>422</v>
      </c>
      <c r="E29" s="14" t="s">
        <v>423</v>
      </c>
      <c r="F29" s="14" t="s">
        <v>429</v>
      </c>
      <c r="G29" s="13" t="s">
        <v>531</v>
      </c>
      <c r="H29" s="14">
        <v>100</v>
      </c>
      <c r="I29" s="14">
        <v>0</v>
      </c>
      <c r="J29" s="14" t="s">
        <v>137</v>
      </c>
      <c r="K29" s="13" t="s">
        <v>532</v>
      </c>
      <c r="L29" s="13"/>
    </row>
    <row r="30" spans="1:12" ht="15" customHeight="1" x14ac:dyDescent="0.45">
      <c r="A30" s="14" t="s">
        <v>529</v>
      </c>
      <c r="B30" s="13" t="s">
        <v>25</v>
      </c>
      <c r="C30" s="13" t="s">
        <v>533</v>
      </c>
      <c r="D30" s="14" t="s">
        <v>422</v>
      </c>
      <c r="E30" s="14" t="s">
        <v>428</v>
      </c>
      <c r="F30" s="14" t="s">
        <v>534</v>
      </c>
      <c r="G30" s="13" t="s">
        <v>535</v>
      </c>
      <c r="H30" s="14">
        <v>30</v>
      </c>
      <c r="I30" s="14">
        <v>0</v>
      </c>
      <c r="J30" s="14" t="s">
        <v>137</v>
      </c>
      <c r="K30" s="13" t="s">
        <v>536</v>
      </c>
      <c r="L30" s="13"/>
    </row>
    <row r="31" spans="1:12" ht="23.25" customHeight="1" x14ac:dyDescent="0.45">
      <c r="A31" s="14" t="s">
        <v>529</v>
      </c>
      <c r="B31" s="13" t="s">
        <v>25</v>
      </c>
      <c r="C31" s="13" t="s">
        <v>537</v>
      </c>
      <c r="D31" s="14" t="s">
        <v>538</v>
      </c>
      <c r="E31" s="14" t="s">
        <v>428</v>
      </c>
      <c r="F31" s="14" t="s">
        <v>429</v>
      </c>
      <c r="G31" s="13" t="s">
        <v>539</v>
      </c>
      <c r="H31" s="14">
        <v>30</v>
      </c>
      <c r="I31" s="14">
        <v>0</v>
      </c>
      <c r="J31" s="14" t="s">
        <v>137</v>
      </c>
      <c r="K31" s="13" t="s">
        <v>540</v>
      </c>
      <c r="L31" s="13"/>
    </row>
    <row r="32" spans="1:12" ht="15" customHeight="1" x14ac:dyDescent="0.45">
      <c r="A32" s="14" t="s">
        <v>541</v>
      </c>
      <c r="B32" s="13" t="s">
        <v>542</v>
      </c>
      <c r="C32" s="13" t="s">
        <v>543</v>
      </c>
      <c r="D32" s="14" t="s">
        <v>538</v>
      </c>
      <c r="E32" s="14" t="s">
        <v>423</v>
      </c>
      <c r="F32" s="14" t="s">
        <v>429</v>
      </c>
      <c r="G32" s="13" t="s">
        <v>544</v>
      </c>
      <c r="H32" s="14">
        <v>10</v>
      </c>
      <c r="I32" s="14">
        <v>0</v>
      </c>
      <c r="J32" s="14" t="s">
        <v>137</v>
      </c>
      <c r="K32" s="13" t="s">
        <v>545</v>
      </c>
      <c r="L32" s="13"/>
    </row>
    <row r="33" spans="1:12" ht="15" customHeight="1" x14ac:dyDescent="0.45">
      <c r="A33" s="14" t="s">
        <v>541</v>
      </c>
      <c r="B33" s="13" t="s">
        <v>542</v>
      </c>
      <c r="C33" s="13" t="s">
        <v>546</v>
      </c>
      <c r="D33" s="14" t="s">
        <v>538</v>
      </c>
      <c r="E33" s="14" t="s">
        <v>428</v>
      </c>
      <c r="F33" s="14" t="s">
        <v>547</v>
      </c>
      <c r="G33" s="13" t="s">
        <v>548</v>
      </c>
      <c r="H33" s="14">
        <v>6</v>
      </c>
      <c r="I33" s="14">
        <v>0</v>
      </c>
      <c r="J33" s="14" t="s">
        <v>137</v>
      </c>
      <c r="K33" s="13" t="s">
        <v>549</v>
      </c>
      <c r="L33" s="13"/>
    </row>
    <row r="34" spans="1:12" ht="23.25" customHeight="1" x14ac:dyDescent="0.45">
      <c r="A34" s="14" t="s">
        <v>541</v>
      </c>
      <c r="B34" s="13" t="s">
        <v>542</v>
      </c>
      <c r="C34" s="13" t="s">
        <v>550</v>
      </c>
      <c r="D34" s="14" t="s">
        <v>440</v>
      </c>
      <c r="E34" s="14" t="s">
        <v>423</v>
      </c>
      <c r="F34" s="14" t="s">
        <v>441</v>
      </c>
      <c r="G34" s="13" t="s">
        <v>478</v>
      </c>
      <c r="H34" s="14">
        <v>4</v>
      </c>
      <c r="I34" s="14">
        <v>0</v>
      </c>
      <c r="J34" s="14" t="s">
        <v>137</v>
      </c>
      <c r="K34" s="13" t="s">
        <v>551</v>
      </c>
      <c r="L34" s="13"/>
    </row>
    <row r="35" spans="1:12" ht="15" customHeight="1" x14ac:dyDescent="0.45">
      <c r="A35" s="14" t="s">
        <v>552</v>
      </c>
      <c r="B35" s="13" t="s">
        <v>553</v>
      </c>
      <c r="C35" s="13" t="s">
        <v>554</v>
      </c>
      <c r="D35" s="14" t="s">
        <v>440</v>
      </c>
      <c r="E35" s="14" t="s">
        <v>423</v>
      </c>
      <c r="F35" s="14" t="s">
        <v>555</v>
      </c>
      <c r="G35" s="13" t="s">
        <v>478</v>
      </c>
      <c r="H35" s="14">
        <v>12</v>
      </c>
      <c r="I35" s="14">
        <v>0</v>
      </c>
      <c r="J35" s="14" t="s">
        <v>137</v>
      </c>
      <c r="K35" s="13" t="s">
        <v>556</v>
      </c>
      <c r="L35" s="13"/>
    </row>
    <row r="36" spans="1:12" ht="15" customHeight="1" x14ac:dyDescent="0.45">
      <c r="A36" s="14" t="s">
        <v>552</v>
      </c>
      <c r="B36" s="13" t="s">
        <v>553</v>
      </c>
      <c r="C36" s="13" t="s">
        <v>557</v>
      </c>
      <c r="D36" s="14" t="s">
        <v>440</v>
      </c>
      <c r="E36" s="14" t="s">
        <v>428</v>
      </c>
      <c r="F36" s="14" t="s">
        <v>555</v>
      </c>
      <c r="G36" s="13" t="s">
        <v>478</v>
      </c>
      <c r="H36" s="14">
        <v>8</v>
      </c>
      <c r="I36" s="14">
        <v>0</v>
      </c>
      <c r="J36" s="14" t="s">
        <v>137</v>
      </c>
      <c r="K36" s="13" t="s">
        <v>558</v>
      </c>
      <c r="L36" s="13"/>
    </row>
    <row r="37" spans="1:12" ht="15" customHeight="1" x14ac:dyDescent="0.45">
      <c r="A37" s="14" t="s">
        <v>529</v>
      </c>
      <c r="B37" s="13" t="s">
        <v>559</v>
      </c>
      <c r="C37" s="13" t="s">
        <v>560</v>
      </c>
      <c r="D37" s="14" t="s">
        <v>561</v>
      </c>
      <c r="E37" s="14" t="s">
        <v>423</v>
      </c>
      <c r="F37" s="14" t="s">
        <v>429</v>
      </c>
      <c r="G37" s="13" t="s">
        <v>562</v>
      </c>
      <c r="H37" s="14">
        <v>10</v>
      </c>
      <c r="I37" s="14">
        <v>0</v>
      </c>
      <c r="J37" s="14" t="s">
        <v>137</v>
      </c>
      <c r="K37" s="13" t="s">
        <v>563</v>
      </c>
      <c r="L37" s="13"/>
    </row>
    <row r="38" spans="1:12" ht="15" customHeight="1" x14ac:dyDescent="0.45">
      <c r="A38" s="14" t="s">
        <v>529</v>
      </c>
      <c r="B38" s="13" t="s">
        <v>559</v>
      </c>
      <c r="C38" s="13" t="s">
        <v>564</v>
      </c>
      <c r="D38" s="14" t="s">
        <v>565</v>
      </c>
      <c r="E38" s="14" t="s">
        <v>428</v>
      </c>
      <c r="F38" s="14" t="s">
        <v>429</v>
      </c>
      <c r="G38" s="13" t="s">
        <v>566</v>
      </c>
      <c r="H38" s="14">
        <v>8</v>
      </c>
      <c r="I38" s="14">
        <v>0</v>
      </c>
      <c r="J38" s="14" t="s">
        <v>137</v>
      </c>
      <c r="K38" s="13" t="s">
        <v>567</v>
      </c>
      <c r="L38" s="13"/>
    </row>
    <row r="39" spans="1:12" ht="15" customHeight="1" x14ac:dyDescent="0.45">
      <c r="A39" s="14" t="s">
        <v>529</v>
      </c>
      <c r="B39" s="13" t="s">
        <v>559</v>
      </c>
      <c r="C39" s="13" t="s">
        <v>568</v>
      </c>
      <c r="D39" s="14" t="s">
        <v>506</v>
      </c>
      <c r="E39" s="14" t="s">
        <v>423</v>
      </c>
      <c r="F39" s="14" t="s">
        <v>429</v>
      </c>
      <c r="G39" s="13" t="s">
        <v>569</v>
      </c>
      <c r="H39" s="14">
        <v>4</v>
      </c>
      <c r="I39" s="14">
        <v>0</v>
      </c>
      <c r="J39" s="14" t="s">
        <v>137</v>
      </c>
      <c r="K39" s="13" t="s">
        <v>570</v>
      </c>
      <c r="L39" s="13"/>
    </row>
    <row r="40" spans="1:12" ht="15" customHeight="1" x14ac:dyDescent="0.45">
      <c r="A40" s="14" t="s">
        <v>571</v>
      </c>
      <c r="B40" s="13" t="s">
        <v>43</v>
      </c>
      <c r="C40" s="13" t="s">
        <v>572</v>
      </c>
      <c r="D40" s="14" t="s">
        <v>506</v>
      </c>
      <c r="E40" s="14" t="s">
        <v>423</v>
      </c>
      <c r="F40" s="14" t="s">
        <v>429</v>
      </c>
      <c r="G40" s="13" t="s">
        <v>573</v>
      </c>
      <c r="H40" s="14">
        <v>2</v>
      </c>
      <c r="I40" s="14">
        <v>0</v>
      </c>
      <c r="J40" s="14" t="s">
        <v>137</v>
      </c>
      <c r="K40" s="13" t="s">
        <v>574</v>
      </c>
      <c r="L40" s="13"/>
    </row>
    <row r="41" spans="1:12" ht="23.25" customHeight="1" x14ac:dyDescent="0.45">
      <c r="A41" s="14" t="s">
        <v>571</v>
      </c>
      <c r="B41" s="13" t="s">
        <v>43</v>
      </c>
      <c r="C41" s="13" t="s">
        <v>575</v>
      </c>
      <c r="D41" s="14" t="s">
        <v>506</v>
      </c>
      <c r="E41" s="14" t="s">
        <v>423</v>
      </c>
      <c r="F41" s="14" t="s">
        <v>429</v>
      </c>
      <c r="G41" s="13" t="s">
        <v>576</v>
      </c>
      <c r="H41" s="14">
        <v>0.5</v>
      </c>
      <c r="I41" s="14">
        <v>0</v>
      </c>
      <c r="J41" s="14" t="s">
        <v>137</v>
      </c>
      <c r="K41" s="13" t="s">
        <v>577</v>
      </c>
      <c r="L41" s="13"/>
    </row>
  </sheetData>
  <conditionalFormatting sqref="E2:E41">
    <cfRule type="cellIs" dxfId="16" priority="4" operator="equal">
      <formula>"Primary"</formula>
    </cfRule>
  </conditionalFormatting>
  <conditionalFormatting sqref="J2:J41">
    <cfRule type="cellIs" dxfId="15" priority="2" operator="equal">
      <formula>"Done"</formula>
    </cfRule>
    <cfRule type="cellIs" dxfId="14" priority="3" operator="equal">
      <formula>"Doing"</formula>
    </cfRule>
  </conditionalFormatting>
  <dataValidations count="1">
    <dataValidation type="list" allowBlank="1" sqref="J2:J41" xr:uid="{00000000-0002-0000-0500-000000000000}">
      <formula1>"Todo,Doing,Done,Skipped"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5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25" x14ac:dyDescent="0.45"/>
  <cols>
    <col min="1" max="1" width="4" customWidth="1"/>
    <col min="2" max="2" width="26" customWidth="1"/>
    <col min="3" max="3" width="38" customWidth="1"/>
    <col min="4" max="4" width="12" customWidth="1"/>
    <col min="5" max="5" width="18" customWidth="1"/>
    <col min="6" max="6" width="12" customWidth="1"/>
    <col min="7" max="7" width="14" customWidth="1"/>
    <col min="8" max="8" width="12" customWidth="1"/>
    <col min="9" max="10" width="9" customWidth="1"/>
    <col min="11" max="11" width="22" customWidth="1"/>
    <col min="12" max="12" width="12" customWidth="1"/>
    <col min="13" max="13" width="25" customWidth="1"/>
  </cols>
  <sheetData>
    <row r="1" spans="1:13" ht="41.25" customHeight="1" x14ac:dyDescent="0.45">
      <c r="A1" s="10" t="s">
        <v>252</v>
      </c>
      <c r="B1" s="10" t="s">
        <v>578</v>
      </c>
      <c r="C1" s="10" t="s">
        <v>579</v>
      </c>
      <c r="D1" s="10" t="s">
        <v>414</v>
      </c>
      <c r="E1" s="10" t="s">
        <v>257</v>
      </c>
      <c r="F1" s="10" t="s">
        <v>580</v>
      </c>
      <c r="G1" s="10" t="s">
        <v>83</v>
      </c>
      <c r="H1" s="10" t="s">
        <v>581</v>
      </c>
      <c r="I1" s="10" t="s">
        <v>582</v>
      </c>
      <c r="J1" s="10" t="s">
        <v>583</v>
      </c>
      <c r="K1" s="10" t="s">
        <v>584</v>
      </c>
      <c r="L1" s="10" t="s">
        <v>585</v>
      </c>
      <c r="M1" s="10" t="s">
        <v>129</v>
      </c>
    </row>
    <row r="2" spans="1:13" ht="23.25" customHeight="1" x14ac:dyDescent="0.45">
      <c r="A2" s="14">
        <v>1</v>
      </c>
      <c r="B2" s="13" t="s">
        <v>586</v>
      </c>
      <c r="C2" s="13" t="s">
        <v>587</v>
      </c>
      <c r="D2" s="14" t="s">
        <v>588</v>
      </c>
      <c r="E2" s="13" t="s">
        <v>589</v>
      </c>
      <c r="F2" s="21"/>
      <c r="G2" s="14" t="s">
        <v>590</v>
      </c>
      <c r="H2" s="21"/>
      <c r="I2" s="14" t="str">
        <f t="shared" ref="I2:I33" ca="1" si="0">IF(F2="","",IF(F2&gt;TODAY(),0,TODAY()-F2))</f>
        <v/>
      </c>
      <c r="J2" s="14" t="str">
        <f t="shared" ref="J2:J33" ca="1" si="1">IF(H2="","",IF(H2&gt;TODAY(),0,TODAY()-H2))</f>
        <v/>
      </c>
      <c r="K2" s="13"/>
      <c r="L2" s="19"/>
      <c r="M2" s="13"/>
    </row>
    <row r="3" spans="1:13" ht="15" customHeight="1" x14ac:dyDescent="0.45">
      <c r="A3" s="14">
        <v>2</v>
      </c>
      <c r="B3" s="13" t="s">
        <v>591</v>
      </c>
      <c r="C3" s="13" t="s">
        <v>592</v>
      </c>
      <c r="D3" s="14" t="s">
        <v>588</v>
      </c>
      <c r="E3" s="13" t="s">
        <v>593</v>
      </c>
      <c r="F3" s="21"/>
      <c r="G3" s="14" t="s">
        <v>590</v>
      </c>
      <c r="H3" s="21"/>
      <c r="I3" s="14" t="str">
        <f t="shared" ca="1" si="0"/>
        <v/>
      </c>
      <c r="J3" s="14" t="str">
        <f t="shared" ca="1" si="1"/>
        <v/>
      </c>
      <c r="K3" s="13"/>
      <c r="L3" s="19"/>
      <c r="M3" s="13"/>
    </row>
    <row r="4" spans="1:13" ht="15" customHeight="1" x14ac:dyDescent="0.45">
      <c r="A4" s="14">
        <v>3</v>
      </c>
      <c r="B4" s="13" t="s">
        <v>594</v>
      </c>
      <c r="C4" s="13" t="s">
        <v>595</v>
      </c>
      <c r="D4" s="14" t="s">
        <v>588</v>
      </c>
      <c r="E4" s="13" t="s">
        <v>596</v>
      </c>
      <c r="F4" s="21"/>
      <c r="G4" s="14" t="s">
        <v>590</v>
      </c>
      <c r="H4" s="21"/>
      <c r="I4" s="14" t="str">
        <f t="shared" ca="1" si="0"/>
        <v/>
      </c>
      <c r="J4" s="14" t="str">
        <f t="shared" ca="1" si="1"/>
        <v/>
      </c>
      <c r="K4" s="13"/>
      <c r="L4" s="19"/>
      <c r="M4" s="13"/>
    </row>
    <row r="5" spans="1:13" ht="15" customHeight="1" x14ac:dyDescent="0.45">
      <c r="A5" s="14">
        <v>4</v>
      </c>
      <c r="B5" s="13" t="s">
        <v>597</v>
      </c>
      <c r="C5" s="13" t="s">
        <v>598</v>
      </c>
      <c r="D5" s="14" t="s">
        <v>588</v>
      </c>
      <c r="E5" s="13" t="s">
        <v>599</v>
      </c>
      <c r="F5" s="21"/>
      <c r="G5" s="14" t="s">
        <v>590</v>
      </c>
      <c r="H5" s="21"/>
      <c r="I5" s="14" t="str">
        <f t="shared" ca="1" si="0"/>
        <v/>
      </c>
      <c r="J5" s="14" t="str">
        <f t="shared" ca="1" si="1"/>
        <v/>
      </c>
      <c r="K5" s="13"/>
      <c r="L5" s="19"/>
      <c r="M5" s="13"/>
    </row>
    <row r="6" spans="1:13" ht="15" customHeight="1" x14ac:dyDescent="0.45">
      <c r="A6" s="14">
        <v>5</v>
      </c>
      <c r="B6" s="13" t="s">
        <v>600</v>
      </c>
      <c r="C6" s="13" t="s">
        <v>601</v>
      </c>
      <c r="D6" s="14" t="s">
        <v>588</v>
      </c>
      <c r="E6" s="13" t="s">
        <v>602</v>
      </c>
      <c r="F6" s="21"/>
      <c r="G6" s="14" t="s">
        <v>590</v>
      </c>
      <c r="H6" s="21"/>
      <c r="I6" s="14" t="str">
        <f t="shared" ca="1" si="0"/>
        <v/>
      </c>
      <c r="J6" s="14" t="str">
        <f t="shared" ca="1" si="1"/>
        <v/>
      </c>
      <c r="K6" s="13"/>
      <c r="L6" s="19"/>
      <c r="M6" s="13"/>
    </row>
    <row r="7" spans="1:13" ht="15" customHeight="1" x14ac:dyDescent="0.45">
      <c r="A7" s="14">
        <v>6</v>
      </c>
      <c r="B7" s="13" t="s">
        <v>603</v>
      </c>
      <c r="C7" s="13" t="s">
        <v>604</v>
      </c>
      <c r="D7" s="14" t="s">
        <v>588</v>
      </c>
      <c r="E7" s="13" t="s">
        <v>605</v>
      </c>
      <c r="F7" s="21"/>
      <c r="G7" s="14" t="s">
        <v>590</v>
      </c>
      <c r="H7" s="21"/>
      <c r="I7" s="14" t="str">
        <f t="shared" ca="1" si="0"/>
        <v/>
      </c>
      <c r="J7" s="14" t="str">
        <f t="shared" ca="1" si="1"/>
        <v/>
      </c>
      <c r="K7" s="13"/>
      <c r="L7" s="19"/>
      <c r="M7" s="13"/>
    </row>
    <row r="8" spans="1:13" ht="15" customHeight="1" x14ac:dyDescent="0.45">
      <c r="A8" s="14">
        <v>7</v>
      </c>
      <c r="B8" s="13" t="s">
        <v>606</v>
      </c>
      <c r="C8" s="13" t="s">
        <v>607</v>
      </c>
      <c r="D8" s="14" t="s">
        <v>588</v>
      </c>
      <c r="E8" s="13" t="s">
        <v>608</v>
      </c>
      <c r="F8" s="21"/>
      <c r="G8" s="14" t="s">
        <v>590</v>
      </c>
      <c r="H8" s="21"/>
      <c r="I8" s="14" t="str">
        <f t="shared" ca="1" si="0"/>
        <v/>
      </c>
      <c r="J8" s="14" t="str">
        <f t="shared" ca="1" si="1"/>
        <v/>
      </c>
      <c r="K8" s="13"/>
      <c r="L8" s="19"/>
      <c r="M8" s="13"/>
    </row>
    <row r="9" spans="1:13" ht="15" customHeight="1" x14ac:dyDescent="0.45">
      <c r="A9" s="14">
        <v>8</v>
      </c>
      <c r="B9" s="13" t="s">
        <v>609</v>
      </c>
      <c r="C9" s="13" t="s">
        <v>604</v>
      </c>
      <c r="D9" s="14" t="s">
        <v>588</v>
      </c>
      <c r="E9" s="13" t="s">
        <v>610</v>
      </c>
      <c r="F9" s="21"/>
      <c r="G9" s="14" t="s">
        <v>590</v>
      </c>
      <c r="H9" s="21"/>
      <c r="I9" s="14" t="str">
        <f t="shared" ca="1" si="0"/>
        <v/>
      </c>
      <c r="J9" s="14" t="str">
        <f t="shared" ca="1" si="1"/>
        <v/>
      </c>
      <c r="K9" s="13"/>
      <c r="L9" s="19"/>
      <c r="M9" s="13"/>
    </row>
    <row r="10" spans="1:13" ht="15" customHeight="1" x14ac:dyDescent="0.45">
      <c r="A10" s="14">
        <v>9</v>
      </c>
      <c r="B10" s="13" t="s">
        <v>611</v>
      </c>
      <c r="C10" s="13" t="s">
        <v>607</v>
      </c>
      <c r="D10" s="14" t="s">
        <v>588</v>
      </c>
      <c r="E10" s="13" t="s">
        <v>612</v>
      </c>
      <c r="F10" s="21"/>
      <c r="G10" s="14" t="s">
        <v>590</v>
      </c>
      <c r="H10" s="21"/>
      <c r="I10" s="14" t="str">
        <f t="shared" ca="1" si="0"/>
        <v/>
      </c>
      <c r="J10" s="14" t="str">
        <f t="shared" ca="1" si="1"/>
        <v/>
      </c>
      <c r="K10" s="13"/>
      <c r="L10" s="19"/>
      <c r="M10" s="13"/>
    </row>
    <row r="11" spans="1:13" ht="15" customHeight="1" x14ac:dyDescent="0.45">
      <c r="A11" s="14">
        <v>10</v>
      </c>
      <c r="B11" s="13" t="s">
        <v>613</v>
      </c>
      <c r="C11" s="13" t="s">
        <v>614</v>
      </c>
      <c r="D11" s="14" t="s">
        <v>588</v>
      </c>
      <c r="E11" s="13" t="s">
        <v>615</v>
      </c>
      <c r="F11" s="21"/>
      <c r="G11" s="14" t="s">
        <v>590</v>
      </c>
      <c r="H11" s="21"/>
      <c r="I11" s="14" t="str">
        <f t="shared" ca="1" si="0"/>
        <v/>
      </c>
      <c r="J11" s="14" t="str">
        <f t="shared" ca="1" si="1"/>
        <v/>
      </c>
      <c r="K11" s="13"/>
      <c r="L11" s="19"/>
      <c r="M11" s="13"/>
    </row>
    <row r="12" spans="1:13" ht="15" customHeight="1" x14ac:dyDescent="0.45">
      <c r="A12" s="14">
        <v>11</v>
      </c>
      <c r="B12" s="13" t="s">
        <v>616</v>
      </c>
      <c r="C12" s="13" t="s">
        <v>604</v>
      </c>
      <c r="D12" s="14" t="s">
        <v>588</v>
      </c>
      <c r="E12" s="13" t="s">
        <v>617</v>
      </c>
      <c r="F12" s="21"/>
      <c r="G12" s="14" t="s">
        <v>590</v>
      </c>
      <c r="H12" s="21"/>
      <c r="I12" s="14" t="str">
        <f t="shared" ca="1" si="0"/>
        <v/>
      </c>
      <c r="J12" s="14" t="str">
        <f t="shared" ca="1" si="1"/>
        <v/>
      </c>
      <c r="K12" s="13"/>
      <c r="L12" s="19"/>
      <c r="M12" s="13"/>
    </row>
    <row r="13" spans="1:13" ht="23.25" customHeight="1" x14ac:dyDescent="0.45">
      <c r="A13" s="14">
        <v>12</v>
      </c>
      <c r="B13" s="13" t="s">
        <v>618</v>
      </c>
      <c r="C13" s="13" t="s">
        <v>619</v>
      </c>
      <c r="D13" s="14" t="s">
        <v>588</v>
      </c>
      <c r="E13" s="13" t="s">
        <v>620</v>
      </c>
      <c r="F13" s="21"/>
      <c r="G13" s="14" t="s">
        <v>590</v>
      </c>
      <c r="H13" s="21"/>
      <c r="I13" s="14" t="str">
        <f t="shared" ca="1" si="0"/>
        <v/>
      </c>
      <c r="J13" s="14" t="str">
        <f t="shared" ca="1" si="1"/>
        <v/>
      </c>
      <c r="K13" s="13"/>
      <c r="L13" s="19"/>
      <c r="M13" s="13"/>
    </row>
    <row r="14" spans="1:13" ht="15" customHeight="1" x14ac:dyDescent="0.45">
      <c r="A14" s="14">
        <v>13</v>
      </c>
      <c r="B14" s="13" t="s">
        <v>621</v>
      </c>
      <c r="C14" s="13" t="s">
        <v>622</v>
      </c>
      <c r="D14" s="14" t="s">
        <v>588</v>
      </c>
      <c r="E14" s="13" t="s">
        <v>623</v>
      </c>
      <c r="F14" s="21"/>
      <c r="G14" s="14" t="s">
        <v>590</v>
      </c>
      <c r="H14" s="21"/>
      <c r="I14" s="14" t="str">
        <f t="shared" ca="1" si="0"/>
        <v/>
      </c>
      <c r="J14" s="14" t="str">
        <f t="shared" ca="1" si="1"/>
        <v/>
      </c>
      <c r="K14" s="13"/>
      <c r="L14" s="19"/>
      <c r="M14" s="13"/>
    </row>
    <row r="15" spans="1:13" ht="15" customHeight="1" x14ac:dyDescent="0.45">
      <c r="A15" s="14">
        <v>14</v>
      </c>
      <c r="B15" s="13" t="s">
        <v>624</v>
      </c>
      <c r="C15" s="13" t="s">
        <v>625</v>
      </c>
      <c r="D15" s="14" t="s">
        <v>626</v>
      </c>
      <c r="E15" s="13" t="s">
        <v>627</v>
      </c>
      <c r="F15" s="21"/>
      <c r="G15" s="14" t="s">
        <v>590</v>
      </c>
      <c r="H15" s="21"/>
      <c r="I15" s="14" t="str">
        <f t="shared" ca="1" si="0"/>
        <v/>
      </c>
      <c r="J15" s="14" t="str">
        <f t="shared" ca="1" si="1"/>
        <v/>
      </c>
      <c r="K15" s="13"/>
      <c r="L15" s="19"/>
      <c r="M15" s="13"/>
    </row>
    <row r="16" spans="1:13" ht="15" customHeight="1" x14ac:dyDescent="0.45">
      <c r="A16" s="14">
        <v>15</v>
      </c>
      <c r="B16" s="13" t="s">
        <v>628</v>
      </c>
      <c r="C16" s="13" t="s">
        <v>629</v>
      </c>
      <c r="D16" s="14" t="s">
        <v>626</v>
      </c>
      <c r="E16" s="13" t="s">
        <v>630</v>
      </c>
      <c r="F16" s="21"/>
      <c r="G16" s="14" t="s">
        <v>590</v>
      </c>
      <c r="H16" s="21"/>
      <c r="I16" s="14" t="str">
        <f t="shared" ca="1" si="0"/>
        <v/>
      </c>
      <c r="J16" s="14" t="str">
        <f t="shared" ca="1" si="1"/>
        <v/>
      </c>
      <c r="K16" s="13"/>
      <c r="L16" s="19"/>
      <c r="M16" s="13"/>
    </row>
    <row r="17" spans="1:13" ht="15" customHeight="1" x14ac:dyDescent="0.45">
      <c r="A17" s="14">
        <v>16</v>
      </c>
      <c r="B17" s="13" t="s">
        <v>631</v>
      </c>
      <c r="C17" s="13" t="s">
        <v>629</v>
      </c>
      <c r="D17" s="14" t="s">
        <v>626</v>
      </c>
      <c r="E17" s="13" t="s">
        <v>632</v>
      </c>
      <c r="F17" s="21"/>
      <c r="G17" s="14" t="s">
        <v>590</v>
      </c>
      <c r="H17" s="21"/>
      <c r="I17" s="14" t="str">
        <f t="shared" ca="1" si="0"/>
        <v/>
      </c>
      <c r="J17" s="14" t="str">
        <f t="shared" ca="1" si="1"/>
        <v/>
      </c>
      <c r="K17" s="13"/>
      <c r="L17" s="19"/>
      <c r="M17" s="13"/>
    </row>
    <row r="18" spans="1:13" ht="15" customHeight="1" x14ac:dyDescent="0.45">
      <c r="A18" s="14">
        <v>17</v>
      </c>
      <c r="B18" s="13" t="s">
        <v>633</v>
      </c>
      <c r="C18" s="13" t="s">
        <v>634</v>
      </c>
      <c r="D18" s="14" t="s">
        <v>626</v>
      </c>
      <c r="E18" s="13" t="s">
        <v>635</v>
      </c>
      <c r="F18" s="21"/>
      <c r="G18" s="14" t="s">
        <v>590</v>
      </c>
      <c r="H18" s="21"/>
      <c r="I18" s="14" t="str">
        <f t="shared" ca="1" si="0"/>
        <v/>
      </c>
      <c r="J18" s="14" t="str">
        <f t="shared" ca="1" si="1"/>
        <v/>
      </c>
      <c r="K18" s="13"/>
      <c r="L18" s="19"/>
      <c r="M18" s="13"/>
    </row>
    <row r="19" spans="1:13" ht="15" customHeight="1" x14ac:dyDescent="0.45">
      <c r="A19" s="14">
        <v>18</v>
      </c>
      <c r="B19" s="13" t="s">
        <v>636</v>
      </c>
      <c r="C19" s="13" t="s">
        <v>629</v>
      </c>
      <c r="D19" s="14" t="s">
        <v>626</v>
      </c>
      <c r="E19" s="13" t="s">
        <v>637</v>
      </c>
      <c r="F19" s="21"/>
      <c r="G19" s="14" t="s">
        <v>590</v>
      </c>
      <c r="H19" s="21"/>
      <c r="I19" s="14" t="str">
        <f t="shared" ca="1" si="0"/>
        <v/>
      </c>
      <c r="J19" s="14" t="str">
        <f t="shared" ca="1" si="1"/>
        <v/>
      </c>
      <c r="K19" s="13"/>
      <c r="L19" s="19"/>
      <c r="M19" s="13"/>
    </row>
    <row r="20" spans="1:13" ht="15" customHeight="1" x14ac:dyDescent="0.45">
      <c r="A20" s="14">
        <v>19</v>
      </c>
      <c r="B20" s="13" t="s">
        <v>638</v>
      </c>
      <c r="C20" s="13" t="s">
        <v>604</v>
      </c>
      <c r="D20" s="14" t="s">
        <v>588</v>
      </c>
      <c r="E20" s="13" t="s">
        <v>639</v>
      </c>
      <c r="F20" s="21"/>
      <c r="G20" s="14" t="s">
        <v>590</v>
      </c>
      <c r="H20" s="21"/>
      <c r="I20" s="14" t="str">
        <f t="shared" ca="1" si="0"/>
        <v/>
      </c>
      <c r="J20" s="14" t="str">
        <f t="shared" ca="1" si="1"/>
        <v/>
      </c>
      <c r="K20" s="13"/>
      <c r="L20" s="19"/>
      <c r="M20" s="13"/>
    </row>
    <row r="21" spans="1:13" ht="15" customHeight="1" x14ac:dyDescent="0.45">
      <c r="A21" s="14">
        <v>20</v>
      </c>
      <c r="B21" s="13" t="s">
        <v>640</v>
      </c>
      <c r="C21" s="13" t="s">
        <v>629</v>
      </c>
      <c r="D21" s="14" t="s">
        <v>626</v>
      </c>
      <c r="E21" s="13" t="s">
        <v>641</v>
      </c>
      <c r="F21" s="21"/>
      <c r="G21" s="14" t="s">
        <v>590</v>
      </c>
      <c r="H21" s="21"/>
      <c r="I21" s="14" t="str">
        <f t="shared" ca="1" si="0"/>
        <v/>
      </c>
      <c r="J21" s="14" t="str">
        <f t="shared" ca="1" si="1"/>
        <v/>
      </c>
      <c r="K21" s="13"/>
      <c r="L21" s="19"/>
      <c r="M21" s="13"/>
    </row>
    <row r="22" spans="1:13" ht="15" customHeight="1" x14ac:dyDescent="0.45">
      <c r="A22" s="14">
        <v>21</v>
      </c>
      <c r="B22" s="13" t="s">
        <v>642</v>
      </c>
      <c r="C22" s="13" t="s">
        <v>629</v>
      </c>
      <c r="D22" s="14" t="s">
        <v>626</v>
      </c>
      <c r="E22" s="13" t="s">
        <v>643</v>
      </c>
      <c r="F22" s="21"/>
      <c r="G22" s="14" t="s">
        <v>590</v>
      </c>
      <c r="H22" s="21"/>
      <c r="I22" s="14" t="str">
        <f t="shared" ca="1" si="0"/>
        <v/>
      </c>
      <c r="J22" s="14" t="str">
        <f t="shared" ca="1" si="1"/>
        <v/>
      </c>
      <c r="K22" s="13"/>
      <c r="L22" s="19"/>
      <c r="M22" s="13"/>
    </row>
    <row r="23" spans="1:13" ht="15" customHeight="1" x14ac:dyDescent="0.45">
      <c r="A23" s="14">
        <v>22</v>
      </c>
      <c r="B23" s="13" t="s">
        <v>644</v>
      </c>
      <c r="C23" s="13" t="s">
        <v>604</v>
      </c>
      <c r="D23" s="14" t="s">
        <v>588</v>
      </c>
      <c r="E23" s="13" t="s">
        <v>645</v>
      </c>
      <c r="F23" s="21"/>
      <c r="G23" s="14" t="s">
        <v>590</v>
      </c>
      <c r="H23" s="21"/>
      <c r="I23" s="14" t="str">
        <f t="shared" ca="1" si="0"/>
        <v/>
      </c>
      <c r="J23" s="14" t="str">
        <f t="shared" ca="1" si="1"/>
        <v/>
      </c>
      <c r="K23" s="13"/>
      <c r="L23" s="19"/>
      <c r="M23" s="13"/>
    </row>
    <row r="24" spans="1:13" ht="15" customHeight="1" x14ac:dyDescent="0.45">
      <c r="A24" s="14">
        <v>23</v>
      </c>
      <c r="B24" s="13" t="s">
        <v>646</v>
      </c>
      <c r="C24" s="13" t="s">
        <v>604</v>
      </c>
      <c r="D24" s="14" t="s">
        <v>588</v>
      </c>
      <c r="E24" s="13" t="s">
        <v>647</v>
      </c>
      <c r="F24" s="21"/>
      <c r="G24" s="14" t="s">
        <v>590</v>
      </c>
      <c r="H24" s="21"/>
      <c r="I24" s="14" t="str">
        <f t="shared" ca="1" si="0"/>
        <v/>
      </c>
      <c r="J24" s="14" t="str">
        <f t="shared" ca="1" si="1"/>
        <v/>
      </c>
      <c r="K24" s="13"/>
      <c r="L24" s="19"/>
      <c r="M24" s="13"/>
    </row>
    <row r="25" spans="1:13" ht="15" customHeight="1" x14ac:dyDescent="0.45">
      <c r="A25" s="14">
        <v>24</v>
      </c>
      <c r="B25" s="13" t="s">
        <v>648</v>
      </c>
      <c r="C25" s="13" t="s">
        <v>649</v>
      </c>
      <c r="D25" s="14" t="s">
        <v>626</v>
      </c>
      <c r="E25" s="13" t="s">
        <v>650</v>
      </c>
      <c r="F25" s="21"/>
      <c r="G25" s="14" t="s">
        <v>590</v>
      </c>
      <c r="H25" s="21"/>
      <c r="I25" s="14" t="str">
        <f t="shared" ca="1" si="0"/>
        <v/>
      </c>
      <c r="J25" s="14" t="str">
        <f t="shared" ca="1" si="1"/>
        <v/>
      </c>
      <c r="K25" s="13"/>
      <c r="L25" s="19"/>
      <c r="M25" s="13"/>
    </row>
    <row r="26" spans="1:13" ht="15" customHeight="1" x14ac:dyDescent="0.45">
      <c r="A26" s="14">
        <v>25</v>
      </c>
      <c r="B26" s="13" t="s">
        <v>651</v>
      </c>
      <c r="C26" s="13" t="s">
        <v>604</v>
      </c>
      <c r="D26" s="14" t="s">
        <v>588</v>
      </c>
      <c r="E26" s="13" t="s">
        <v>652</v>
      </c>
      <c r="F26" s="21"/>
      <c r="G26" s="14" t="s">
        <v>590</v>
      </c>
      <c r="H26" s="21"/>
      <c r="I26" s="14" t="str">
        <f t="shared" ca="1" si="0"/>
        <v/>
      </c>
      <c r="J26" s="14" t="str">
        <f t="shared" ca="1" si="1"/>
        <v/>
      </c>
      <c r="K26" s="13"/>
      <c r="L26" s="19"/>
      <c r="M26" s="13"/>
    </row>
    <row r="27" spans="1:13" ht="15" customHeight="1" x14ac:dyDescent="0.45">
      <c r="A27" s="14">
        <v>26</v>
      </c>
      <c r="B27" s="13"/>
      <c r="C27" s="13"/>
      <c r="D27" s="14"/>
      <c r="E27" s="13"/>
      <c r="F27" s="21"/>
      <c r="G27" s="14"/>
      <c r="H27" s="21"/>
      <c r="I27" s="14" t="str">
        <f t="shared" ca="1" si="0"/>
        <v/>
      </c>
      <c r="J27" s="14" t="str">
        <f t="shared" ca="1" si="1"/>
        <v/>
      </c>
      <c r="K27" s="13"/>
      <c r="L27" s="19"/>
      <c r="M27" s="13"/>
    </row>
    <row r="28" spans="1:13" ht="15" customHeight="1" x14ac:dyDescent="0.45">
      <c r="A28" s="14">
        <v>27</v>
      </c>
      <c r="B28" s="13"/>
      <c r="C28" s="13"/>
      <c r="D28" s="14"/>
      <c r="E28" s="13"/>
      <c r="F28" s="21"/>
      <c r="G28" s="14"/>
      <c r="H28" s="21"/>
      <c r="I28" s="14" t="str">
        <f t="shared" ca="1" si="0"/>
        <v/>
      </c>
      <c r="J28" s="14" t="str">
        <f t="shared" ca="1" si="1"/>
        <v/>
      </c>
      <c r="K28" s="13"/>
      <c r="L28" s="19"/>
      <c r="M28" s="13"/>
    </row>
    <row r="29" spans="1:13" ht="15" customHeight="1" x14ac:dyDescent="0.45">
      <c r="A29" s="14">
        <v>28</v>
      </c>
      <c r="B29" s="13"/>
      <c r="C29" s="13"/>
      <c r="D29" s="14"/>
      <c r="E29" s="13"/>
      <c r="F29" s="21"/>
      <c r="G29" s="14"/>
      <c r="H29" s="21"/>
      <c r="I29" s="14" t="str">
        <f t="shared" ca="1" si="0"/>
        <v/>
      </c>
      <c r="J29" s="14" t="str">
        <f t="shared" ca="1" si="1"/>
        <v/>
      </c>
      <c r="K29" s="13"/>
      <c r="L29" s="19"/>
      <c r="M29" s="13"/>
    </row>
    <row r="30" spans="1:13" ht="15" customHeight="1" x14ac:dyDescent="0.45">
      <c r="A30" s="14">
        <v>29</v>
      </c>
      <c r="B30" s="13"/>
      <c r="C30" s="13"/>
      <c r="D30" s="14"/>
      <c r="E30" s="13"/>
      <c r="F30" s="21"/>
      <c r="G30" s="14"/>
      <c r="H30" s="21"/>
      <c r="I30" s="14" t="str">
        <f t="shared" ca="1" si="0"/>
        <v/>
      </c>
      <c r="J30" s="14" t="str">
        <f t="shared" ca="1" si="1"/>
        <v/>
      </c>
      <c r="K30" s="13"/>
      <c r="L30" s="19"/>
      <c r="M30" s="13"/>
    </row>
    <row r="31" spans="1:13" ht="15" customHeight="1" x14ac:dyDescent="0.45">
      <c r="A31" s="14">
        <v>30</v>
      </c>
      <c r="B31" s="13"/>
      <c r="C31" s="13"/>
      <c r="D31" s="14"/>
      <c r="E31" s="13"/>
      <c r="F31" s="21"/>
      <c r="G31" s="14"/>
      <c r="H31" s="21"/>
      <c r="I31" s="14" t="str">
        <f t="shared" ca="1" si="0"/>
        <v/>
      </c>
      <c r="J31" s="14" t="str">
        <f t="shared" ca="1" si="1"/>
        <v/>
      </c>
      <c r="K31" s="13"/>
      <c r="L31" s="19"/>
      <c r="M31" s="13"/>
    </row>
    <row r="32" spans="1:13" ht="15" customHeight="1" x14ac:dyDescent="0.45">
      <c r="A32" s="14">
        <v>31</v>
      </c>
      <c r="B32" s="13"/>
      <c r="C32" s="13"/>
      <c r="D32" s="14"/>
      <c r="E32" s="13"/>
      <c r="F32" s="21"/>
      <c r="G32" s="14"/>
      <c r="H32" s="21"/>
      <c r="I32" s="14" t="str">
        <f t="shared" ca="1" si="0"/>
        <v/>
      </c>
      <c r="J32" s="14" t="str">
        <f t="shared" ca="1" si="1"/>
        <v/>
      </c>
      <c r="K32" s="13"/>
      <c r="L32" s="19"/>
      <c r="M32" s="13"/>
    </row>
    <row r="33" spans="1:13" ht="15" customHeight="1" x14ac:dyDescent="0.45">
      <c r="A33" s="14">
        <v>32</v>
      </c>
      <c r="B33" s="13"/>
      <c r="C33" s="13"/>
      <c r="D33" s="14"/>
      <c r="E33" s="13"/>
      <c r="F33" s="21"/>
      <c r="G33" s="14"/>
      <c r="H33" s="21"/>
      <c r="I33" s="14" t="str">
        <f t="shared" ca="1" si="0"/>
        <v/>
      </c>
      <c r="J33" s="14" t="str">
        <f t="shared" ca="1" si="1"/>
        <v/>
      </c>
      <c r="K33" s="13"/>
      <c r="L33" s="19"/>
      <c r="M33" s="13"/>
    </row>
    <row r="34" spans="1:13" ht="15" customHeight="1" x14ac:dyDescent="0.45">
      <c r="A34" s="14">
        <v>33</v>
      </c>
      <c r="B34" s="13"/>
      <c r="C34" s="13"/>
      <c r="D34" s="14"/>
      <c r="E34" s="13"/>
      <c r="F34" s="21"/>
      <c r="G34" s="14"/>
      <c r="H34" s="21"/>
      <c r="I34" s="14" t="str">
        <f t="shared" ref="I34:I51" ca="1" si="2">IF(F34="","",IF(F34&gt;TODAY(),0,TODAY()-F34))</f>
        <v/>
      </c>
      <c r="J34" s="14" t="str">
        <f t="shared" ref="J34:J51" ca="1" si="3">IF(H34="","",IF(H34&gt;TODAY(),0,TODAY()-H34))</f>
        <v/>
      </c>
      <c r="K34" s="13"/>
      <c r="L34" s="19"/>
      <c r="M34" s="13"/>
    </row>
    <row r="35" spans="1:13" ht="15" customHeight="1" x14ac:dyDescent="0.45">
      <c r="A35" s="14">
        <v>34</v>
      </c>
      <c r="B35" s="13"/>
      <c r="C35" s="13"/>
      <c r="D35" s="14"/>
      <c r="E35" s="13"/>
      <c r="F35" s="21"/>
      <c r="G35" s="14"/>
      <c r="H35" s="21"/>
      <c r="I35" s="14" t="str">
        <f t="shared" ca="1" si="2"/>
        <v/>
      </c>
      <c r="J35" s="14" t="str">
        <f t="shared" ca="1" si="3"/>
        <v/>
      </c>
      <c r="K35" s="13"/>
      <c r="L35" s="19"/>
      <c r="M35" s="13"/>
    </row>
    <row r="36" spans="1:13" ht="15" customHeight="1" x14ac:dyDescent="0.45">
      <c r="A36" s="14">
        <v>35</v>
      </c>
      <c r="B36" s="13"/>
      <c r="C36" s="13"/>
      <c r="D36" s="14"/>
      <c r="E36" s="13"/>
      <c r="F36" s="21"/>
      <c r="G36" s="14"/>
      <c r="H36" s="21"/>
      <c r="I36" s="14" t="str">
        <f t="shared" ca="1" si="2"/>
        <v/>
      </c>
      <c r="J36" s="14" t="str">
        <f t="shared" ca="1" si="3"/>
        <v/>
      </c>
      <c r="K36" s="13"/>
      <c r="L36" s="19"/>
      <c r="M36" s="13"/>
    </row>
    <row r="37" spans="1:13" ht="15" customHeight="1" x14ac:dyDescent="0.45">
      <c r="A37" s="14">
        <v>36</v>
      </c>
      <c r="B37" s="13"/>
      <c r="C37" s="13"/>
      <c r="D37" s="14"/>
      <c r="E37" s="13"/>
      <c r="F37" s="21"/>
      <c r="G37" s="14"/>
      <c r="H37" s="21"/>
      <c r="I37" s="14" t="str">
        <f t="shared" ca="1" si="2"/>
        <v/>
      </c>
      <c r="J37" s="14" t="str">
        <f t="shared" ca="1" si="3"/>
        <v/>
      </c>
      <c r="K37" s="13"/>
      <c r="L37" s="19"/>
      <c r="M37" s="13"/>
    </row>
    <row r="38" spans="1:13" ht="15" customHeight="1" x14ac:dyDescent="0.45">
      <c r="A38" s="14">
        <v>37</v>
      </c>
      <c r="B38" s="13"/>
      <c r="C38" s="13"/>
      <c r="D38" s="14"/>
      <c r="E38" s="13"/>
      <c r="F38" s="21"/>
      <c r="G38" s="14"/>
      <c r="H38" s="21"/>
      <c r="I38" s="14" t="str">
        <f t="shared" ca="1" si="2"/>
        <v/>
      </c>
      <c r="J38" s="14" t="str">
        <f t="shared" ca="1" si="3"/>
        <v/>
      </c>
      <c r="K38" s="13"/>
      <c r="L38" s="19"/>
      <c r="M38" s="13"/>
    </row>
    <row r="39" spans="1:13" ht="15" customHeight="1" x14ac:dyDescent="0.45">
      <c r="A39" s="14">
        <v>38</v>
      </c>
      <c r="B39" s="13"/>
      <c r="C39" s="13"/>
      <c r="D39" s="14"/>
      <c r="E39" s="13"/>
      <c r="F39" s="21"/>
      <c r="G39" s="14"/>
      <c r="H39" s="21"/>
      <c r="I39" s="14" t="str">
        <f t="shared" ca="1" si="2"/>
        <v/>
      </c>
      <c r="J39" s="14" t="str">
        <f t="shared" ca="1" si="3"/>
        <v/>
      </c>
      <c r="K39" s="13"/>
      <c r="L39" s="19"/>
      <c r="M39" s="13"/>
    </row>
    <row r="40" spans="1:13" ht="15" customHeight="1" x14ac:dyDescent="0.45">
      <c r="A40" s="14">
        <v>39</v>
      </c>
      <c r="B40" s="13"/>
      <c r="C40" s="13"/>
      <c r="D40" s="14"/>
      <c r="E40" s="13"/>
      <c r="F40" s="21"/>
      <c r="G40" s="14"/>
      <c r="H40" s="21"/>
      <c r="I40" s="14" t="str">
        <f t="shared" ca="1" si="2"/>
        <v/>
      </c>
      <c r="J40" s="14" t="str">
        <f t="shared" ca="1" si="3"/>
        <v/>
      </c>
      <c r="K40" s="13"/>
      <c r="L40" s="19"/>
      <c r="M40" s="13"/>
    </row>
    <row r="41" spans="1:13" ht="15" customHeight="1" x14ac:dyDescent="0.45">
      <c r="A41" s="14">
        <v>40</v>
      </c>
      <c r="B41" s="13"/>
      <c r="C41" s="13"/>
      <c r="D41" s="14"/>
      <c r="E41" s="13"/>
      <c r="F41" s="21"/>
      <c r="G41" s="14"/>
      <c r="H41" s="21"/>
      <c r="I41" s="14" t="str">
        <f t="shared" ca="1" si="2"/>
        <v/>
      </c>
      <c r="J41" s="14" t="str">
        <f t="shared" ca="1" si="3"/>
        <v/>
      </c>
      <c r="K41" s="13"/>
      <c r="L41" s="19"/>
      <c r="M41" s="13"/>
    </row>
    <row r="42" spans="1:13" ht="15" customHeight="1" x14ac:dyDescent="0.45">
      <c r="A42" s="14">
        <v>41</v>
      </c>
      <c r="B42" s="13"/>
      <c r="C42" s="13"/>
      <c r="D42" s="14"/>
      <c r="E42" s="13"/>
      <c r="F42" s="21"/>
      <c r="G42" s="14"/>
      <c r="H42" s="21"/>
      <c r="I42" s="14" t="str">
        <f t="shared" ca="1" si="2"/>
        <v/>
      </c>
      <c r="J42" s="14" t="str">
        <f t="shared" ca="1" si="3"/>
        <v/>
      </c>
      <c r="K42" s="13"/>
      <c r="L42" s="19"/>
      <c r="M42" s="13"/>
    </row>
    <row r="43" spans="1:13" ht="15" customHeight="1" x14ac:dyDescent="0.45">
      <c r="A43" s="14">
        <v>42</v>
      </c>
      <c r="B43" s="13"/>
      <c r="C43" s="13"/>
      <c r="D43" s="14"/>
      <c r="E43" s="13"/>
      <c r="F43" s="21"/>
      <c r="G43" s="14"/>
      <c r="H43" s="21"/>
      <c r="I43" s="14" t="str">
        <f t="shared" ca="1" si="2"/>
        <v/>
      </c>
      <c r="J43" s="14" t="str">
        <f t="shared" ca="1" si="3"/>
        <v/>
      </c>
      <c r="K43" s="13"/>
      <c r="L43" s="19"/>
      <c r="M43" s="13"/>
    </row>
    <row r="44" spans="1:13" ht="15" customHeight="1" x14ac:dyDescent="0.45">
      <c r="A44" s="14">
        <v>43</v>
      </c>
      <c r="B44" s="13"/>
      <c r="C44" s="13"/>
      <c r="D44" s="14"/>
      <c r="E44" s="13"/>
      <c r="F44" s="21"/>
      <c r="G44" s="14"/>
      <c r="H44" s="21"/>
      <c r="I44" s="14" t="str">
        <f t="shared" ca="1" si="2"/>
        <v/>
      </c>
      <c r="J44" s="14" t="str">
        <f t="shared" ca="1" si="3"/>
        <v/>
      </c>
      <c r="K44" s="13"/>
      <c r="L44" s="19"/>
      <c r="M44" s="13"/>
    </row>
    <row r="45" spans="1:13" ht="15" customHeight="1" x14ac:dyDescent="0.45">
      <c r="A45" s="14">
        <v>44</v>
      </c>
      <c r="B45" s="13"/>
      <c r="C45" s="13"/>
      <c r="D45" s="14"/>
      <c r="E45" s="13"/>
      <c r="F45" s="21"/>
      <c r="G45" s="14"/>
      <c r="H45" s="21"/>
      <c r="I45" s="14" t="str">
        <f t="shared" ca="1" si="2"/>
        <v/>
      </c>
      <c r="J45" s="14" t="str">
        <f t="shared" ca="1" si="3"/>
        <v/>
      </c>
      <c r="K45" s="13"/>
      <c r="L45" s="19"/>
      <c r="M45" s="13"/>
    </row>
    <row r="46" spans="1:13" ht="15" customHeight="1" x14ac:dyDescent="0.45">
      <c r="A46" s="14">
        <v>45</v>
      </c>
      <c r="B46" s="13"/>
      <c r="C46" s="13"/>
      <c r="D46" s="14"/>
      <c r="E46" s="13"/>
      <c r="F46" s="21"/>
      <c r="G46" s="14"/>
      <c r="H46" s="21"/>
      <c r="I46" s="14" t="str">
        <f t="shared" ca="1" si="2"/>
        <v/>
      </c>
      <c r="J46" s="14" t="str">
        <f t="shared" ca="1" si="3"/>
        <v/>
      </c>
      <c r="K46" s="13"/>
      <c r="L46" s="19"/>
      <c r="M46" s="13"/>
    </row>
    <row r="47" spans="1:13" ht="15" customHeight="1" x14ac:dyDescent="0.45">
      <c r="A47" s="14">
        <v>46</v>
      </c>
      <c r="B47" s="13"/>
      <c r="C47" s="13"/>
      <c r="D47" s="14"/>
      <c r="E47" s="13"/>
      <c r="F47" s="21"/>
      <c r="G47" s="14"/>
      <c r="H47" s="21"/>
      <c r="I47" s="14" t="str">
        <f t="shared" ca="1" si="2"/>
        <v/>
      </c>
      <c r="J47" s="14" t="str">
        <f t="shared" ca="1" si="3"/>
        <v/>
      </c>
      <c r="K47" s="13"/>
      <c r="L47" s="19"/>
      <c r="M47" s="13"/>
    </row>
    <row r="48" spans="1:13" ht="15" customHeight="1" x14ac:dyDescent="0.45">
      <c r="A48" s="14">
        <v>47</v>
      </c>
      <c r="B48" s="13"/>
      <c r="C48" s="13"/>
      <c r="D48" s="14"/>
      <c r="E48" s="13"/>
      <c r="F48" s="21"/>
      <c r="G48" s="14"/>
      <c r="H48" s="21"/>
      <c r="I48" s="14" t="str">
        <f t="shared" ca="1" si="2"/>
        <v/>
      </c>
      <c r="J48" s="14" t="str">
        <f t="shared" ca="1" si="3"/>
        <v/>
      </c>
      <c r="K48" s="13"/>
      <c r="L48" s="19"/>
      <c r="M48" s="13"/>
    </row>
    <row r="49" spans="1:13" ht="15" customHeight="1" x14ac:dyDescent="0.45">
      <c r="A49" s="14">
        <v>48</v>
      </c>
      <c r="B49" s="13"/>
      <c r="C49" s="13"/>
      <c r="D49" s="14"/>
      <c r="E49" s="13"/>
      <c r="F49" s="21"/>
      <c r="G49" s="14"/>
      <c r="H49" s="21"/>
      <c r="I49" s="14" t="str">
        <f t="shared" ca="1" si="2"/>
        <v/>
      </c>
      <c r="J49" s="14" t="str">
        <f t="shared" ca="1" si="3"/>
        <v/>
      </c>
      <c r="K49" s="13"/>
      <c r="L49" s="19"/>
      <c r="M49" s="13"/>
    </row>
    <row r="50" spans="1:13" ht="15" customHeight="1" x14ac:dyDescent="0.45">
      <c r="A50" s="14">
        <v>49</v>
      </c>
      <c r="B50" s="13"/>
      <c r="C50" s="13"/>
      <c r="D50" s="14"/>
      <c r="E50" s="13"/>
      <c r="F50" s="21"/>
      <c r="G50" s="14"/>
      <c r="H50" s="21"/>
      <c r="I50" s="14" t="str">
        <f t="shared" ca="1" si="2"/>
        <v/>
      </c>
      <c r="J50" s="14" t="str">
        <f t="shared" ca="1" si="3"/>
        <v/>
      </c>
      <c r="K50" s="13"/>
      <c r="L50" s="19"/>
      <c r="M50" s="13"/>
    </row>
    <row r="51" spans="1:13" ht="15" customHeight="1" x14ac:dyDescent="0.45">
      <c r="A51" s="14">
        <v>50</v>
      </c>
      <c r="B51" s="13"/>
      <c r="C51" s="13"/>
      <c r="D51" s="14"/>
      <c r="E51" s="13"/>
      <c r="F51" s="21"/>
      <c r="G51" s="14"/>
      <c r="H51" s="21"/>
      <c r="I51" s="14" t="str">
        <f t="shared" ca="1" si="2"/>
        <v/>
      </c>
      <c r="J51" s="14" t="str">
        <f t="shared" ca="1" si="3"/>
        <v/>
      </c>
      <c r="K51" s="13"/>
      <c r="L51" s="19"/>
      <c r="M51" s="13"/>
    </row>
  </sheetData>
  <conditionalFormatting sqref="G2:G51">
    <cfRule type="cellIs" dxfId="13" priority="2" operator="equal">
      <formula>"Drafted"</formula>
    </cfRule>
    <cfRule type="cellIs" dxfId="12" priority="3" operator="equal">
      <formula>"Applied"</formula>
    </cfRule>
    <cfRule type="cellIs" dxfId="11" priority="4" operator="equal">
      <formula>"OA Sent"</formula>
    </cfRule>
    <cfRule type="cellIs" dxfId="10" priority="5" operator="equal">
      <formula>"OA Done"</formula>
    </cfRule>
    <cfRule type="cellIs" dxfId="9" priority="6" operator="equal">
      <formula>"Phone Screen"</formula>
    </cfRule>
    <cfRule type="cellIs" dxfId="8" priority="7" operator="equal">
      <formula>"Tech Interview"</formula>
    </cfRule>
    <cfRule type="cellIs" dxfId="7" priority="8" operator="equal">
      <formula>"Final"</formula>
    </cfRule>
    <cfRule type="cellIs" dxfId="6" priority="9" operator="equal">
      <formula>"Offer"</formula>
    </cfRule>
    <cfRule type="cellIs" dxfId="5" priority="10" operator="equal">
      <formula>"Rejected"</formula>
    </cfRule>
    <cfRule type="cellIs" dxfId="4" priority="11" operator="equal">
      <formula>"Withdrawn"</formula>
    </cfRule>
    <cfRule type="cellIs" dxfId="3" priority="12" operator="equal">
      <formula>"Ghosted"</formula>
    </cfRule>
  </conditionalFormatting>
  <conditionalFormatting sqref="J2:J51">
    <cfRule type="cellIs" dxfId="2" priority="13" operator="greaterThan">
      <formula>14</formula>
    </cfRule>
  </conditionalFormatting>
  <dataValidations count="2">
    <dataValidation type="list" allowBlank="1" sqref="G2:G51" xr:uid="{00000000-0002-0000-0600-000000000000}">
      <formula1>"Drafted,Applied,OA Sent,OA Done,Phone Screen,Tech Interview,Final,Offer,Rejected,Withdrawn,Ghosted"</formula1>
      <formula2>0</formula2>
    </dataValidation>
    <dataValidation type="list" allowBlank="1" sqref="D2:D51" xr:uid="{00000000-0002-0000-0600-000001000000}">
      <formula1>"Placement,Internship,Spring Insight,Part-time,Contract"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0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25" x14ac:dyDescent="0.45"/>
  <cols>
    <col min="1" max="1" width="4" customWidth="1"/>
    <col min="2" max="2" width="12" customWidth="1"/>
    <col min="3" max="4" width="22" customWidth="1"/>
    <col min="5" max="5" width="28" customWidth="1"/>
    <col min="6" max="6" width="14" customWidth="1"/>
    <col min="7" max="7" width="16" customWidth="1"/>
    <col min="8" max="8" width="36" customWidth="1"/>
    <col min="9" max="9" width="8" customWidth="1"/>
    <col min="10" max="10" width="12" customWidth="1"/>
    <col min="11" max="11" width="9" customWidth="1"/>
    <col min="12" max="12" width="12" customWidth="1"/>
    <col min="13" max="13" width="26" customWidth="1"/>
    <col min="14" max="14" width="20" customWidth="1"/>
  </cols>
  <sheetData>
    <row r="1" spans="1:14" ht="27.75" customHeight="1" x14ac:dyDescent="0.45">
      <c r="A1" s="10" t="s">
        <v>252</v>
      </c>
      <c r="B1" s="10" t="s">
        <v>653</v>
      </c>
      <c r="C1" s="10" t="s">
        <v>654</v>
      </c>
      <c r="D1" s="10" t="s">
        <v>578</v>
      </c>
      <c r="E1" s="10" t="s">
        <v>579</v>
      </c>
      <c r="F1" s="10" t="s">
        <v>655</v>
      </c>
      <c r="G1" s="10" t="s">
        <v>656</v>
      </c>
      <c r="H1" s="10" t="s">
        <v>657</v>
      </c>
      <c r="I1" s="10" t="s">
        <v>658</v>
      </c>
      <c r="J1" s="10" t="s">
        <v>659</v>
      </c>
      <c r="K1" s="10" t="s">
        <v>660</v>
      </c>
      <c r="L1" s="10" t="s">
        <v>661</v>
      </c>
      <c r="M1" s="10" t="s">
        <v>662</v>
      </c>
      <c r="N1" s="10" t="s">
        <v>129</v>
      </c>
    </row>
    <row r="2" spans="1:14" ht="15" customHeight="1" x14ac:dyDescent="0.45">
      <c r="A2" s="14">
        <v>1</v>
      </c>
      <c r="B2" s="21"/>
      <c r="C2" s="13"/>
      <c r="D2" s="13"/>
      <c r="E2" s="13"/>
      <c r="F2" s="13"/>
      <c r="G2" s="13"/>
      <c r="H2" s="13"/>
      <c r="I2" s="14" t="s">
        <v>663</v>
      </c>
      <c r="J2" s="21"/>
      <c r="K2" s="14" t="str">
        <f t="shared" ref="K2:K33" si="0">IF(OR(B2="",J2=""),"",IF(J2&lt;B2,"",J2-B2))</f>
        <v/>
      </c>
      <c r="L2" s="21"/>
      <c r="M2" s="13"/>
      <c r="N2" s="13"/>
    </row>
    <row r="3" spans="1:14" ht="15" customHeight="1" x14ac:dyDescent="0.45">
      <c r="A3" s="14">
        <v>2</v>
      </c>
      <c r="B3" s="21"/>
      <c r="C3" s="13"/>
      <c r="D3" s="13"/>
      <c r="E3" s="13"/>
      <c r="F3" s="13"/>
      <c r="G3" s="13"/>
      <c r="H3" s="13"/>
      <c r="I3" s="14"/>
      <c r="J3" s="21"/>
      <c r="K3" s="14" t="str">
        <f t="shared" si="0"/>
        <v/>
      </c>
      <c r="L3" s="21"/>
      <c r="M3" s="13"/>
      <c r="N3" s="13"/>
    </row>
    <row r="4" spans="1:14" ht="15" customHeight="1" x14ac:dyDescent="0.45">
      <c r="A4" s="14">
        <v>3</v>
      </c>
      <c r="B4" s="21"/>
      <c r="C4" s="13"/>
      <c r="D4" s="13"/>
      <c r="E4" s="13"/>
      <c r="F4" s="13"/>
      <c r="G4" s="13"/>
      <c r="H4" s="13"/>
      <c r="I4" s="14"/>
      <c r="J4" s="21"/>
      <c r="K4" s="14" t="str">
        <f t="shared" si="0"/>
        <v/>
      </c>
      <c r="L4" s="21"/>
      <c r="M4" s="13"/>
      <c r="N4" s="13"/>
    </row>
    <row r="5" spans="1:14" ht="15" customHeight="1" x14ac:dyDescent="0.45">
      <c r="A5" s="14">
        <v>4</v>
      </c>
      <c r="B5" s="21"/>
      <c r="C5" s="13"/>
      <c r="D5" s="13"/>
      <c r="E5" s="13"/>
      <c r="F5" s="13"/>
      <c r="G5" s="13"/>
      <c r="H5" s="13"/>
      <c r="I5" s="14"/>
      <c r="J5" s="21"/>
      <c r="K5" s="14" t="str">
        <f t="shared" si="0"/>
        <v/>
      </c>
      <c r="L5" s="21"/>
      <c r="M5" s="13"/>
      <c r="N5" s="13"/>
    </row>
    <row r="6" spans="1:14" ht="15" customHeight="1" x14ac:dyDescent="0.45">
      <c r="A6" s="14">
        <v>5</v>
      </c>
      <c r="B6" s="21"/>
      <c r="C6" s="13"/>
      <c r="D6" s="13"/>
      <c r="E6" s="13"/>
      <c r="F6" s="13"/>
      <c r="G6" s="13"/>
      <c r="H6" s="13"/>
      <c r="I6" s="14"/>
      <c r="J6" s="21"/>
      <c r="K6" s="14" t="str">
        <f t="shared" si="0"/>
        <v/>
      </c>
      <c r="L6" s="21"/>
      <c r="M6" s="13"/>
      <c r="N6" s="13"/>
    </row>
    <row r="7" spans="1:14" ht="15" customHeight="1" x14ac:dyDescent="0.45">
      <c r="A7" s="14">
        <v>6</v>
      </c>
      <c r="B7" s="21"/>
      <c r="C7" s="13"/>
      <c r="D7" s="13"/>
      <c r="E7" s="13"/>
      <c r="F7" s="13"/>
      <c r="G7" s="13"/>
      <c r="H7" s="13"/>
      <c r="I7" s="14"/>
      <c r="J7" s="21"/>
      <c r="K7" s="14" t="str">
        <f t="shared" si="0"/>
        <v/>
      </c>
      <c r="L7" s="21"/>
      <c r="M7" s="13"/>
      <c r="N7" s="13"/>
    </row>
    <row r="8" spans="1:14" ht="15" customHeight="1" x14ac:dyDescent="0.45">
      <c r="A8" s="14">
        <v>7</v>
      </c>
      <c r="B8" s="21"/>
      <c r="C8" s="13"/>
      <c r="D8" s="13"/>
      <c r="E8" s="13"/>
      <c r="F8" s="13"/>
      <c r="G8" s="13"/>
      <c r="H8" s="13"/>
      <c r="I8" s="14"/>
      <c r="J8" s="21"/>
      <c r="K8" s="14" t="str">
        <f t="shared" si="0"/>
        <v/>
      </c>
      <c r="L8" s="21"/>
      <c r="M8" s="13"/>
      <c r="N8" s="13"/>
    </row>
    <row r="9" spans="1:14" ht="15" customHeight="1" x14ac:dyDescent="0.45">
      <c r="A9" s="14">
        <v>8</v>
      </c>
      <c r="B9" s="21"/>
      <c r="C9" s="13"/>
      <c r="D9" s="13"/>
      <c r="E9" s="13"/>
      <c r="F9" s="13"/>
      <c r="G9" s="13"/>
      <c r="H9" s="13"/>
      <c r="I9" s="14"/>
      <c r="J9" s="21"/>
      <c r="K9" s="14" t="str">
        <f t="shared" si="0"/>
        <v/>
      </c>
      <c r="L9" s="21"/>
      <c r="M9" s="13"/>
      <c r="N9" s="13"/>
    </row>
    <row r="10" spans="1:14" ht="15" customHeight="1" x14ac:dyDescent="0.45">
      <c r="A10" s="14">
        <v>9</v>
      </c>
      <c r="B10" s="21"/>
      <c r="C10" s="13"/>
      <c r="D10" s="13"/>
      <c r="E10" s="13"/>
      <c r="F10" s="13"/>
      <c r="G10" s="13"/>
      <c r="H10" s="13"/>
      <c r="I10" s="14"/>
      <c r="J10" s="21"/>
      <c r="K10" s="14" t="str">
        <f t="shared" si="0"/>
        <v/>
      </c>
      <c r="L10" s="21"/>
      <c r="M10" s="13"/>
      <c r="N10" s="13"/>
    </row>
    <row r="11" spans="1:14" ht="15" customHeight="1" x14ac:dyDescent="0.45">
      <c r="A11" s="14">
        <v>10</v>
      </c>
      <c r="B11" s="21"/>
      <c r="C11" s="13"/>
      <c r="D11" s="13"/>
      <c r="E11" s="13"/>
      <c r="F11" s="13"/>
      <c r="G11" s="13"/>
      <c r="H11" s="13"/>
      <c r="I11" s="14"/>
      <c r="J11" s="21"/>
      <c r="K11" s="14" t="str">
        <f t="shared" si="0"/>
        <v/>
      </c>
      <c r="L11" s="21"/>
      <c r="M11" s="13"/>
      <c r="N11" s="13"/>
    </row>
    <row r="12" spans="1:14" ht="15" customHeight="1" x14ac:dyDescent="0.45">
      <c r="A12" s="14">
        <v>11</v>
      </c>
      <c r="B12" s="21"/>
      <c r="C12" s="13"/>
      <c r="D12" s="13"/>
      <c r="E12" s="13"/>
      <c r="F12" s="13"/>
      <c r="G12" s="13"/>
      <c r="H12" s="13"/>
      <c r="I12" s="14"/>
      <c r="J12" s="21"/>
      <c r="K12" s="14" t="str">
        <f t="shared" si="0"/>
        <v/>
      </c>
      <c r="L12" s="21"/>
      <c r="M12" s="13"/>
      <c r="N12" s="13"/>
    </row>
    <row r="13" spans="1:14" ht="15" customHeight="1" x14ac:dyDescent="0.45">
      <c r="A13" s="14">
        <v>12</v>
      </c>
      <c r="B13" s="21"/>
      <c r="C13" s="13"/>
      <c r="D13" s="13"/>
      <c r="E13" s="13"/>
      <c r="F13" s="13"/>
      <c r="G13" s="13"/>
      <c r="H13" s="13"/>
      <c r="I13" s="14"/>
      <c r="J13" s="21"/>
      <c r="K13" s="14" t="str">
        <f t="shared" si="0"/>
        <v/>
      </c>
      <c r="L13" s="21"/>
      <c r="M13" s="13"/>
      <c r="N13" s="13"/>
    </row>
    <row r="14" spans="1:14" ht="15" customHeight="1" x14ac:dyDescent="0.45">
      <c r="A14" s="14">
        <v>13</v>
      </c>
      <c r="B14" s="21"/>
      <c r="C14" s="13"/>
      <c r="D14" s="13"/>
      <c r="E14" s="13"/>
      <c r="F14" s="13"/>
      <c r="G14" s="13"/>
      <c r="H14" s="13"/>
      <c r="I14" s="14"/>
      <c r="J14" s="21"/>
      <c r="K14" s="14" t="str">
        <f t="shared" si="0"/>
        <v/>
      </c>
      <c r="L14" s="21"/>
      <c r="M14" s="13"/>
      <c r="N14" s="13"/>
    </row>
    <row r="15" spans="1:14" ht="15" customHeight="1" x14ac:dyDescent="0.45">
      <c r="A15" s="14">
        <v>14</v>
      </c>
      <c r="B15" s="21"/>
      <c r="C15" s="13"/>
      <c r="D15" s="13"/>
      <c r="E15" s="13"/>
      <c r="F15" s="13"/>
      <c r="G15" s="13"/>
      <c r="H15" s="13"/>
      <c r="I15" s="14"/>
      <c r="J15" s="21"/>
      <c r="K15" s="14" t="str">
        <f t="shared" si="0"/>
        <v/>
      </c>
      <c r="L15" s="21"/>
      <c r="M15" s="13"/>
      <c r="N15" s="13"/>
    </row>
    <row r="16" spans="1:14" ht="15" customHeight="1" x14ac:dyDescent="0.45">
      <c r="A16" s="14">
        <v>15</v>
      </c>
      <c r="B16" s="21"/>
      <c r="C16" s="13"/>
      <c r="D16" s="13"/>
      <c r="E16" s="13"/>
      <c r="F16" s="13"/>
      <c r="G16" s="13"/>
      <c r="H16" s="13"/>
      <c r="I16" s="14"/>
      <c r="J16" s="21"/>
      <c r="K16" s="14" t="str">
        <f t="shared" si="0"/>
        <v/>
      </c>
      <c r="L16" s="21"/>
      <c r="M16" s="13"/>
      <c r="N16" s="13"/>
    </row>
    <row r="17" spans="1:14" ht="15" customHeight="1" x14ac:dyDescent="0.45">
      <c r="A17" s="14">
        <v>16</v>
      </c>
      <c r="B17" s="21"/>
      <c r="C17" s="13"/>
      <c r="D17" s="13"/>
      <c r="E17" s="13"/>
      <c r="F17" s="13"/>
      <c r="G17" s="13"/>
      <c r="H17" s="13"/>
      <c r="I17" s="14"/>
      <c r="J17" s="21"/>
      <c r="K17" s="14" t="str">
        <f t="shared" si="0"/>
        <v/>
      </c>
      <c r="L17" s="21"/>
      <c r="M17" s="13"/>
      <c r="N17" s="13"/>
    </row>
    <row r="18" spans="1:14" ht="15" customHeight="1" x14ac:dyDescent="0.45">
      <c r="A18" s="14">
        <v>17</v>
      </c>
      <c r="B18" s="21"/>
      <c r="C18" s="13"/>
      <c r="D18" s="13"/>
      <c r="E18" s="13"/>
      <c r="F18" s="13"/>
      <c r="G18" s="13"/>
      <c r="H18" s="13"/>
      <c r="I18" s="14"/>
      <c r="J18" s="21"/>
      <c r="K18" s="14" t="str">
        <f t="shared" si="0"/>
        <v/>
      </c>
      <c r="L18" s="21"/>
      <c r="M18" s="13"/>
      <c r="N18" s="13"/>
    </row>
    <row r="19" spans="1:14" ht="15" customHeight="1" x14ac:dyDescent="0.45">
      <c r="A19" s="14">
        <v>18</v>
      </c>
      <c r="B19" s="21"/>
      <c r="C19" s="13"/>
      <c r="D19" s="13"/>
      <c r="E19" s="13"/>
      <c r="F19" s="13"/>
      <c r="G19" s="13"/>
      <c r="H19" s="13"/>
      <c r="I19" s="14"/>
      <c r="J19" s="21"/>
      <c r="K19" s="14" t="str">
        <f t="shared" si="0"/>
        <v/>
      </c>
      <c r="L19" s="21"/>
      <c r="M19" s="13"/>
      <c r="N19" s="13"/>
    </row>
    <row r="20" spans="1:14" ht="15" customHeight="1" x14ac:dyDescent="0.45">
      <c r="A20" s="14">
        <v>19</v>
      </c>
      <c r="B20" s="21"/>
      <c r="C20" s="13"/>
      <c r="D20" s="13"/>
      <c r="E20" s="13"/>
      <c r="F20" s="13"/>
      <c r="G20" s="13"/>
      <c r="H20" s="13"/>
      <c r="I20" s="14"/>
      <c r="J20" s="21"/>
      <c r="K20" s="14" t="str">
        <f t="shared" si="0"/>
        <v/>
      </c>
      <c r="L20" s="21"/>
      <c r="M20" s="13"/>
      <c r="N20" s="13"/>
    </row>
    <row r="21" spans="1:14" ht="15" customHeight="1" x14ac:dyDescent="0.45">
      <c r="A21" s="14">
        <v>20</v>
      </c>
      <c r="B21" s="21"/>
      <c r="C21" s="13"/>
      <c r="D21" s="13"/>
      <c r="E21" s="13"/>
      <c r="F21" s="13"/>
      <c r="G21" s="13"/>
      <c r="H21" s="13"/>
      <c r="I21" s="14"/>
      <c r="J21" s="21"/>
      <c r="K21" s="14" t="str">
        <f t="shared" si="0"/>
        <v/>
      </c>
      <c r="L21" s="21"/>
      <c r="M21" s="13"/>
      <c r="N21" s="13"/>
    </row>
    <row r="22" spans="1:14" ht="15" customHeight="1" x14ac:dyDescent="0.45">
      <c r="A22" s="14">
        <v>21</v>
      </c>
      <c r="B22" s="21"/>
      <c r="C22" s="13"/>
      <c r="D22" s="13"/>
      <c r="E22" s="13"/>
      <c r="F22" s="13"/>
      <c r="G22" s="13"/>
      <c r="H22" s="13"/>
      <c r="I22" s="14"/>
      <c r="J22" s="21"/>
      <c r="K22" s="14" t="str">
        <f t="shared" si="0"/>
        <v/>
      </c>
      <c r="L22" s="21"/>
      <c r="M22" s="13"/>
      <c r="N22" s="13"/>
    </row>
    <row r="23" spans="1:14" ht="15" customHeight="1" x14ac:dyDescent="0.45">
      <c r="A23" s="14">
        <v>22</v>
      </c>
      <c r="B23" s="21"/>
      <c r="C23" s="13"/>
      <c r="D23" s="13"/>
      <c r="E23" s="13"/>
      <c r="F23" s="13"/>
      <c r="G23" s="13"/>
      <c r="H23" s="13"/>
      <c r="I23" s="14"/>
      <c r="J23" s="21"/>
      <c r="K23" s="14" t="str">
        <f t="shared" si="0"/>
        <v/>
      </c>
      <c r="L23" s="21"/>
      <c r="M23" s="13"/>
      <c r="N23" s="13"/>
    </row>
    <row r="24" spans="1:14" ht="15" customHeight="1" x14ac:dyDescent="0.45">
      <c r="A24" s="14">
        <v>23</v>
      </c>
      <c r="B24" s="21"/>
      <c r="C24" s="13"/>
      <c r="D24" s="13"/>
      <c r="E24" s="13"/>
      <c r="F24" s="13"/>
      <c r="G24" s="13"/>
      <c r="H24" s="13"/>
      <c r="I24" s="14"/>
      <c r="J24" s="21"/>
      <c r="K24" s="14" t="str">
        <f t="shared" si="0"/>
        <v/>
      </c>
      <c r="L24" s="21"/>
      <c r="M24" s="13"/>
      <c r="N24" s="13"/>
    </row>
    <row r="25" spans="1:14" ht="15" customHeight="1" x14ac:dyDescent="0.45">
      <c r="A25" s="14">
        <v>24</v>
      </c>
      <c r="B25" s="21"/>
      <c r="C25" s="13"/>
      <c r="D25" s="13"/>
      <c r="E25" s="13"/>
      <c r="F25" s="13"/>
      <c r="G25" s="13"/>
      <c r="H25" s="13"/>
      <c r="I25" s="14"/>
      <c r="J25" s="21"/>
      <c r="K25" s="14" t="str">
        <f t="shared" si="0"/>
        <v/>
      </c>
      <c r="L25" s="21"/>
      <c r="M25" s="13"/>
      <c r="N25" s="13"/>
    </row>
    <row r="26" spans="1:14" ht="15" customHeight="1" x14ac:dyDescent="0.45">
      <c r="A26" s="14">
        <v>25</v>
      </c>
      <c r="B26" s="21"/>
      <c r="C26" s="13"/>
      <c r="D26" s="13"/>
      <c r="E26" s="13"/>
      <c r="F26" s="13"/>
      <c r="G26" s="13"/>
      <c r="H26" s="13"/>
      <c r="I26" s="14"/>
      <c r="J26" s="21"/>
      <c r="K26" s="14" t="str">
        <f t="shared" si="0"/>
        <v/>
      </c>
      <c r="L26" s="21"/>
      <c r="M26" s="13"/>
      <c r="N26" s="13"/>
    </row>
    <row r="27" spans="1:14" ht="15" customHeight="1" x14ac:dyDescent="0.45">
      <c r="A27" s="14">
        <v>26</v>
      </c>
      <c r="B27" s="21"/>
      <c r="C27" s="13"/>
      <c r="D27" s="13"/>
      <c r="E27" s="13"/>
      <c r="F27" s="13"/>
      <c r="G27" s="13"/>
      <c r="H27" s="13"/>
      <c r="I27" s="14"/>
      <c r="J27" s="21"/>
      <c r="K27" s="14" t="str">
        <f t="shared" si="0"/>
        <v/>
      </c>
      <c r="L27" s="21"/>
      <c r="M27" s="13"/>
      <c r="N27" s="13"/>
    </row>
    <row r="28" spans="1:14" ht="15" customHeight="1" x14ac:dyDescent="0.45">
      <c r="A28" s="14">
        <v>27</v>
      </c>
      <c r="B28" s="21"/>
      <c r="C28" s="13"/>
      <c r="D28" s="13"/>
      <c r="E28" s="13"/>
      <c r="F28" s="13"/>
      <c r="G28" s="13"/>
      <c r="H28" s="13"/>
      <c r="I28" s="14"/>
      <c r="J28" s="21"/>
      <c r="K28" s="14" t="str">
        <f t="shared" si="0"/>
        <v/>
      </c>
      <c r="L28" s="21"/>
      <c r="M28" s="13"/>
      <c r="N28" s="13"/>
    </row>
    <row r="29" spans="1:14" ht="15" customHeight="1" x14ac:dyDescent="0.45">
      <c r="A29" s="14">
        <v>28</v>
      </c>
      <c r="B29" s="21"/>
      <c r="C29" s="13"/>
      <c r="D29" s="13"/>
      <c r="E29" s="13"/>
      <c r="F29" s="13"/>
      <c r="G29" s="13"/>
      <c r="H29" s="13"/>
      <c r="I29" s="14"/>
      <c r="J29" s="21"/>
      <c r="K29" s="14" t="str">
        <f t="shared" si="0"/>
        <v/>
      </c>
      <c r="L29" s="21"/>
      <c r="M29" s="13"/>
      <c r="N29" s="13"/>
    </row>
    <row r="30" spans="1:14" ht="15" customHeight="1" x14ac:dyDescent="0.45">
      <c r="A30" s="14">
        <v>29</v>
      </c>
      <c r="B30" s="21"/>
      <c r="C30" s="13"/>
      <c r="D30" s="13"/>
      <c r="E30" s="13"/>
      <c r="F30" s="13"/>
      <c r="G30" s="13"/>
      <c r="H30" s="13"/>
      <c r="I30" s="14"/>
      <c r="J30" s="21"/>
      <c r="K30" s="14" t="str">
        <f t="shared" si="0"/>
        <v/>
      </c>
      <c r="L30" s="21"/>
      <c r="M30" s="13"/>
      <c r="N30" s="13"/>
    </row>
    <row r="31" spans="1:14" ht="15" customHeight="1" x14ac:dyDescent="0.45">
      <c r="A31" s="14">
        <v>30</v>
      </c>
      <c r="B31" s="21"/>
      <c r="C31" s="13"/>
      <c r="D31" s="13"/>
      <c r="E31" s="13"/>
      <c r="F31" s="13"/>
      <c r="G31" s="13"/>
      <c r="H31" s="13"/>
      <c r="I31" s="14"/>
      <c r="J31" s="21"/>
      <c r="K31" s="14" t="str">
        <f t="shared" si="0"/>
        <v/>
      </c>
      <c r="L31" s="21"/>
      <c r="M31" s="13"/>
      <c r="N31" s="13"/>
    </row>
    <row r="32" spans="1:14" ht="15" customHeight="1" x14ac:dyDescent="0.45">
      <c r="A32" s="14">
        <v>31</v>
      </c>
      <c r="B32" s="21"/>
      <c r="C32" s="13"/>
      <c r="D32" s="13"/>
      <c r="E32" s="13"/>
      <c r="F32" s="13"/>
      <c r="G32" s="13"/>
      <c r="H32" s="13"/>
      <c r="I32" s="14"/>
      <c r="J32" s="21"/>
      <c r="K32" s="14" t="str">
        <f t="shared" si="0"/>
        <v/>
      </c>
      <c r="L32" s="21"/>
      <c r="M32" s="13"/>
      <c r="N32" s="13"/>
    </row>
    <row r="33" spans="1:14" ht="15" customHeight="1" x14ac:dyDescent="0.45">
      <c r="A33" s="14">
        <v>32</v>
      </c>
      <c r="B33" s="21"/>
      <c r="C33" s="13"/>
      <c r="D33" s="13"/>
      <c r="E33" s="13"/>
      <c r="F33" s="13"/>
      <c r="G33" s="13"/>
      <c r="H33" s="13"/>
      <c r="I33" s="14"/>
      <c r="J33" s="21"/>
      <c r="K33" s="14" t="str">
        <f t="shared" si="0"/>
        <v/>
      </c>
      <c r="L33" s="21"/>
      <c r="M33" s="13"/>
      <c r="N33" s="13"/>
    </row>
    <row r="34" spans="1:14" ht="15" customHeight="1" x14ac:dyDescent="0.45">
      <c r="A34" s="14">
        <v>33</v>
      </c>
      <c r="B34" s="21"/>
      <c r="C34" s="13"/>
      <c r="D34" s="13"/>
      <c r="E34" s="13"/>
      <c r="F34" s="13"/>
      <c r="G34" s="13"/>
      <c r="H34" s="13"/>
      <c r="I34" s="14"/>
      <c r="J34" s="21"/>
      <c r="K34" s="14" t="str">
        <f t="shared" ref="K34:K65" si="1">IF(OR(B34="",J34=""),"",IF(J34&lt;B34,"",J34-B34))</f>
        <v/>
      </c>
      <c r="L34" s="21"/>
      <c r="M34" s="13"/>
      <c r="N34" s="13"/>
    </row>
    <row r="35" spans="1:14" ht="15" customHeight="1" x14ac:dyDescent="0.45">
      <c r="A35" s="14">
        <v>34</v>
      </c>
      <c r="B35" s="21"/>
      <c r="C35" s="13"/>
      <c r="D35" s="13"/>
      <c r="E35" s="13"/>
      <c r="F35" s="13"/>
      <c r="G35" s="13"/>
      <c r="H35" s="13"/>
      <c r="I35" s="14"/>
      <c r="J35" s="21"/>
      <c r="K35" s="14" t="str">
        <f t="shared" si="1"/>
        <v/>
      </c>
      <c r="L35" s="21"/>
      <c r="M35" s="13"/>
      <c r="N35" s="13"/>
    </row>
    <row r="36" spans="1:14" ht="15" customHeight="1" x14ac:dyDescent="0.45">
      <c r="A36" s="14">
        <v>35</v>
      </c>
      <c r="B36" s="21"/>
      <c r="C36" s="13"/>
      <c r="D36" s="13"/>
      <c r="E36" s="13"/>
      <c r="F36" s="13"/>
      <c r="G36" s="13"/>
      <c r="H36" s="13"/>
      <c r="I36" s="14"/>
      <c r="J36" s="21"/>
      <c r="K36" s="14" t="str">
        <f t="shared" si="1"/>
        <v/>
      </c>
      <c r="L36" s="21"/>
      <c r="M36" s="13"/>
      <c r="N36" s="13"/>
    </row>
    <row r="37" spans="1:14" ht="15" customHeight="1" x14ac:dyDescent="0.45">
      <c r="A37" s="14">
        <v>36</v>
      </c>
      <c r="B37" s="21"/>
      <c r="C37" s="13"/>
      <c r="D37" s="13"/>
      <c r="E37" s="13"/>
      <c r="F37" s="13"/>
      <c r="G37" s="13"/>
      <c r="H37" s="13"/>
      <c r="I37" s="14"/>
      <c r="J37" s="21"/>
      <c r="K37" s="14" t="str">
        <f t="shared" si="1"/>
        <v/>
      </c>
      <c r="L37" s="21"/>
      <c r="M37" s="13"/>
      <c r="N37" s="13"/>
    </row>
    <row r="38" spans="1:14" ht="15" customHeight="1" x14ac:dyDescent="0.45">
      <c r="A38" s="14">
        <v>37</v>
      </c>
      <c r="B38" s="21"/>
      <c r="C38" s="13"/>
      <c r="D38" s="13"/>
      <c r="E38" s="13"/>
      <c r="F38" s="13"/>
      <c r="G38" s="13"/>
      <c r="H38" s="13"/>
      <c r="I38" s="14"/>
      <c r="J38" s="21"/>
      <c r="K38" s="14" t="str">
        <f t="shared" si="1"/>
        <v/>
      </c>
      <c r="L38" s="21"/>
      <c r="M38" s="13"/>
      <c r="N38" s="13"/>
    </row>
    <row r="39" spans="1:14" ht="15" customHeight="1" x14ac:dyDescent="0.45">
      <c r="A39" s="14">
        <v>38</v>
      </c>
      <c r="B39" s="21"/>
      <c r="C39" s="13"/>
      <c r="D39" s="13"/>
      <c r="E39" s="13"/>
      <c r="F39" s="13"/>
      <c r="G39" s="13"/>
      <c r="H39" s="13"/>
      <c r="I39" s="14"/>
      <c r="J39" s="21"/>
      <c r="K39" s="14" t="str">
        <f t="shared" si="1"/>
        <v/>
      </c>
      <c r="L39" s="21"/>
      <c r="M39" s="13"/>
      <c r="N39" s="13"/>
    </row>
    <row r="40" spans="1:14" ht="15" customHeight="1" x14ac:dyDescent="0.45">
      <c r="A40" s="14">
        <v>39</v>
      </c>
      <c r="B40" s="21"/>
      <c r="C40" s="13"/>
      <c r="D40" s="13"/>
      <c r="E40" s="13"/>
      <c r="F40" s="13"/>
      <c r="G40" s="13"/>
      <c r="H40" s="13"/>
      <c r="I40" s="14"/>
      <c r="J40" s="21"/>
      <c r="K40" s="14" t="str">
        <f t="shared" si="1"/>
        <v/>
      </c>
      <c r="L40" s="21"/>
      <c r="M40" s="13"/>
      <c r="N40" s="13"/>
    </row>
    <row r="41" spans="1:14" ht="15" customHeight="1" x14ac:dyDescent="0.45">
      <c r="A41" s="14">
        <v>40</v>
      </c>
      <c r="B41" s="21"/>
      <c r="C41" s="13"/>
      <c r="D41" s="13"/>
      <c r="E41" s="13"/>
      <c r="F41" s="13"/>
      <c r="G41" s="13"/>
      <c r="H41" s="13"/>
      <c r="I41" s="14"/>
      <c r="J41" s="21"/>
      <c r="K41" s="14" t="str">
        <f t="shared" si="1"/>
        <v/>
      </c>
      <c r="L41" s="21"/>
      <c r="M41" s="13"/>
      <c r="N41" s="13"/>
    </row>
    <row r="42" spans="1:14" ht="15" customHeight="1" x14ac:dyDescent="0.45">
      <c r="A42" s="14">
        <v>41</v>
      </c>
      <c r="B42" s="21"/>
      <c r="C42" s="13"/>
      <c r="D42" s="13"/>
      <c r="E42" s="13"/>
      <c r="F42" s="13"/>
      <c r="G42" s="13"/>
      <c r="H42" s="13"/>
      <c r="I42" s="14"/>
      <c r="J42" s="21"/>
      <c r="K42" s="14" t="str">
        <f t="shared" si="1"/>
        <v/>
      </c>
      <c r="L42" s="21"/>
      <c r="M42" s="13"/>
      <c r="N42" s="13"/>
    </row>
    <row r="43" spans="1:14" ht="15" customHeight="1" x14ac:dyDescent="0.45">
      <c r="A43" s="14">
        <v>42</v>
      </c>
      <c r="B43" s="21"/>
      <c r="C43" s="13"/>
      <c r="D43" s="13"/>
      <c r="E43" s="13"/>
      <c r="F43" s="13"/>
      <c r="G43" s="13"/>
      <c r="H43" s="13"/>
      <c r="I43" s="14"/>
      <c r="J43" s="21"/>
      <c r="K43" s="14" t="str">
        <f t="shared" si="1"/>
        <v/>
      </c>
      <c r="L43" s="21"/>
      <c r="M43" s="13"/>
      <c r="N43" s="13"/>
    </row>
    <row r="44" spans="1:14" ht="15" customHeight="1" x14ac:dyDescent="0.45">
      <c r="A44" s="14">
        <v>43</v>
      </c>
      <c r="B44" s="21"/>
      <c r="C44" s="13"/>
      <c r="D44" s="13"/>
      <c r="E44" s="13"/>
      <c r="F44" s="13"/>
      <c r="G44" s="13"/>
      <c r="H44" s="13"/>
      <c r="I44" s="14"/>
      <c r="J44" s="21"/>
      <c r="K44" s="14" t="str">
        <f t="shared" si="1"/>
        <v/>
      </c>
      <c r="L44" s="21"/>
      <c r="M44" s="13"/>
      <c r="N44" s="13"/>
    </row>
    <row r="45" spans="1:14" ht="15" customHeight="1" x14ac:dyDescent="0.45">
      <c r="A45" s="14">
        <v>44</v>
      </c>
      <c r="B45" s="21"/>
      <c r="C45" s="13"/>
      <c r="D45" s="13"/>
      <c r="E45" s="13"/>
      <c r="F45" s="13"/>
      <c r="G45" s="13"/>
      <c r="H45" s="13"/>
      <c r="I45" s="14"/>
      <c r="J45" s="21"/>
      <c r="K45" s="14" t="str">
        <f t="shared" si="1"/>
        <v/>
      </c>
      <c r="L45" s="21"/>
      <c r="M45" s="13"/>
      <c r="N45" s="13"/>
    </row>
    <row r="46" spans="1:14" ht="15" customHeight="1" x14ac:dyDescent="0.45">
      <c r="A46" s="14">
        <v>45</v>
      </c>
      <c r="B46" s="21"/>
      <c r="C46" s="13"/>
      <c r="D46" s="13"/>
      <c r="E46" s="13"/>
      <c r="F46" s="13"/>
      <c r="G46" s="13"/>
      <c r="H46" s="13"/>
      <c r="I46" s="14"/>
      <c r="J46" s="21"/>
      <c r="K46" s="14" t="str">
        <f t="shared" si="1"/>
        <v/>
      </c>
      <c r="L46" s="21"/>
      <c r="M46" s="13"/>
      <c r="N46" s="13"/>
    </row>
    <row r="47" spans="1:14" ht="15" customHeight="1" x14ac:dyDescent="0.45">
      <c r="A47" s="14">
        <v>46</v>
      </c>
      <c r="B47" s="21"/>
      <c r="C47" s="13"/>
      <c r="D47" s="13"/>
      <c r="E47" s="13"/>
      <c r="F47" s="13"/>
      <c r="G47" s="13"/>
      <c r="H47" s="13"/>
      <c r="I47" s="14"/>
      <c r="J47" s="21"/>
      <c r="K47" s="14" t="str">
        <f t="shared" si="1"/>
        <v/>
      </c>
      <c r="L47" s="21"/>
      <c r="M47" s="13"/>
      <c r="N47" s="13"/>
    </row>
    <row r="48" spans="1:14" ht="15" customHeight="1" x14ac:dyDescent="0.45">
      <c r="A48" s="14">
        <v>47</v>
      </c>
      <c r="B48" s="21"/>
      <c r="C48" s="13"/>
      <c r="D48" s="13"/>
      <c r="E48" s="13"/>
      <c r="F48" s="13"/>
      <c r="G48" s="13"/>
      <c r="H48" s="13"/>
      <c r="I48" s="14"/>
      <c r="J48" s="21"/>
      <c r="K48" s="14" t="str">
        <f t="shared" si="1"/>
        <v/>
      </c>
      <c r="L48" s="21"/>
      <c r="M48" s="13"/>
      <c r="N48" s="13"/>
    </row>
    <row r="49" spans="1:14" ht="15" customHeight="1" x14ac:dyDescent="0.45">
      <c r="A49" s="14">
        <v>48</v>
      </c>
      <c r="B49" s="21"/>
      <c r="C49" s="13"/>
      <c r="D49" s="13"/>
      <c r="E49" s="13"/>
      <c r="F49" s="13"/>
      <c r="G49" s="13"/>
      <c r="H49" s="13"/>
      <c r="I49" s="14"/>
      <c r="J49" s="21"/>
      <c r="K49" s="14" t="str">
        <f t="shared" si="1"/>
        <v/>
      </c>
      <c r="L49" s="21"/>
      <c r="M49" s="13"/>
      <c r="N49" s="13"/>
    </row>
    <row r="50" spans="1:14" ht="15" customHeight="1" x14ac:dyDescent="0.45">
      <c r="A50" s="14">
        <v>49</v>
      </c>
      <c r="B50" s="21"/>
      <c r="C50" s="13"/>
      <c r="D50" s="13"/>
      <c r="E50" s="13"/>
      <c r="F50" s="13"/>
      <c r="G50" s="13"/>
      <c r="H50" s="13"/>
      <c r="I50" s="14"/>
      <c r="J50" s="21"/>
      <c r="K50" s="14" t="str">
        <f t="shared" si="1"/>
        <v/>
      </c>
      <c r="L50" s="21"/>
      <c r="M50" s="13"/>
      <c r="N50" s="13"/>
    </row>
    <row r="51" spans="1:14" ht="15" customHeight="1" x14ac:dyDescent="0.45">
      <c r="A51" s="14">
        <v>50</v>
      </c>
      <c r="B51" s="21"/>
      <c r="C51" s="13"/>
      <c r="D51" s="13"/>
      <c r="E51" s="13"/>
      <c r="F51" s="13"/>
      <c r="G51" s="13"/>
      <c r="H51" s="13"/>
      <c r="I51" s="14"/>
      <c r="J51" s="21"/>
      <c r="K51" s="14" t="str">
        <f t="shared" si="1"/>
        <v/>
      </c>
      <c r="L51" s="21"/>
      <c r="M51" s="13"/>
      <c r="N51" s="13"/>
    </row>
    <row r="52" spans="1:14" ht="15" customHeight="1" x14ac:dyDescent="0.45">
      <c r="A52" s="14">
        <v>51</v>
      </c>
      <c r="B52" s="21"/>
      <c r="C52" s="13"/>
      <c r="D52" s="13"/>
      <c r="E52" s="13"/>
      <c r="F52" s="13"/>
      <c r="G52" s="13"/>
      <c r="H52" s="13"/>
      <c r="I52" s="14"/>
      <c r="J52" s="21"/>
      <c r="K52" s="14" t="str">
        <f t="shared" si="1"/>
        <v/>
      </c>
      <c r="L52" s="21"/>
      <c r="M52" s="13"/>
      <c r="N52" s="13"/>
    </row>
    <row r="53" spans="1:14" ht="15" customHeight="1" x14ac:dyDescent="0.45">
      <c r="A53" s="14">
        <v>52</v>
      </c>
      <c r="B53" s="21"/>
      <c r="C53" s="13"/>
      <c r="D53" s="13"/>
      <c r="E53" s="13"/>
      <c r="F53" s="13"/>
      <c r="G53" s="13"/>
      <c r="H53" s="13"/>
      <c r="I53" s="14"/>
      <c r="J53" s="21"/>
      <c r="K53" s="14" t="str">
        <f t="shared" si="1"/>
        <v/>
      </c>
      <c r="L53" s="21"/>
      <c r="M53" s="13"/>
      <c r="N53" s="13"/>
    </row>
    <row r="54" spans="1:14" ht="15" customHeight="1" x14ac:dyDescent="0.45">
      <c r="A54" s="14">
        <v>53</v>
      </c>
      <c r="B54" s="21"/>
      <c r="C54" s="13"/>
      <c r="D54" s="13"/>
      <c r="E54" s="13"/>
      <c r="F54" s="13"/>
      <c r="G54" s="13"/>
      <c r="H54" s="13"/>
      <c r="I54" s="14"/>
      <c r="J54" s="21"/>
      <c r="K54" s="14" t="str">
        <f t="shared" si="1"/>
        <v/>
      </c>
      <c r="L54" s="21"/>
      <c r="M54" s="13"/>
      <c r="N54" s="13"/>
    </row>
    <row r="55" spans="1:14" ht="15" customHeight="1" x14ac:dyDescent="0.45">
      <c r="A55" s="14">
        <v>54</v>
      </c>
      <c r="B55" s="21"/>
      <c r="C55" s="13"/>
      <c r="D55" s="13"/>
      <c r="E55" s="13"/>
      <c r="F55" s="13"/>
      <c r="G55" s="13"/>
      <c r="H55" s="13"/>
      <c r="I55" s="14"/>
      <c r="J55" s="21"/>
      <c r="K55" s="14" t="str">
        <f t="shared" si="1"/>
        <v/>
      </c>
      <c r="L55" s="21"/>
      <c r="M55" s="13"/>
      <c r="N55" s="13"/>
    </row>
    <row r="56" spans="1:14" ht="15" customHeight="1" x14ac:dyDescent="0.45">
      <c r="A56" s="14">
        <v>55</v>
      </c>
      <c r="B56" s="21"/>
      <c r="C56" s="13"/>
      <c r="D56" s="13"/>
      <c r="E56" s="13"/>
      <c r="F56" s="13"/>
      <c r="G56" s="13"/>
      <c r="H56" s="13"/>
      <c r="I56" s="14"/>
      <c r="J56" s="21"/>
      <c r="K56" s="14" t="str">
        <f t="shared" si="1"/>
        <v/>
      </c>
      <c r="L56" s="21"/>
      <c r="M56" s="13"/>
      <c r="N56" s="13"/>
    </row>
    <row r="57" spans="1:14" ht="15" customHeight="1" x14ac:dyDescent="0.45">
      <c r="A57" s="14">
        <v>56</v>
      </c>
      <c r="B57" s="21"/>
      <c r="C57" s="13"/>
      <c r="D57" s="13"/>
      <c r="E57" s="13"/>
      <c r="F57" s="13"/>
      <c r="G57" s="13"/>
      <c r="H57" s="13"/>
      <c r="I57" s="14"/>
      <c r="J57" s="21"/>
      <c r="K57" s="14" t="str">
        <f t="shared" si="1"/>
        <v/>
      </c>
      <c r="L57" s="21"/>
      <c r="M57" s="13"/>
      <c r="N57" s="13"/>
    </row>
    <row r="58" spans="1:14" ht="15" customHeight="1" x14ac:dyDescent="0.45">
      <c r="A58" s="14">
        <v>57</v>
      </c>
      <c r="B58" s="21"/>
      <c r="C58" s="13"/>
      <c r="D58" s="13"/>
      <c r="E58" s="13"/>
      <c r="F58" s="13"/>
      <c r="G58" s="13"/>
      <c r="H58" s="13"/>
      <c r="I58" s="14"/>
      <c r="J58" s="21"/>
      <c r="K58" s="14" t="str">
        <f t="shared" si="1"/>
        <v/>
      </c>
      <c r="L58" s="21"/>
      <c r="M58" s="13"/>
      <c r="N58" s="13"/>
    </row>
    <row r="59" spans="1:14" ht="15" customHeight="1" x14ac:dyDescent="0.45">
      <c r="A59" s="14">
        <v>58</v>
      </c>
      <c r="B59" s="21"/>
      <c r="C59" s="13"/>
      <c r="D59" s="13"/>
      <c r="E59" s="13"/>
      <c r="F59" s="13"/>
      <c r="G59" s="13"/>
      <c r="H59" s="13"/>
      <c r="I59" s="14"/>
      <c r="J59" s="21"/>
      <c r="K59" s="14" t="str">
        <f t="shared" si="1"/>
        <v/>
      </c>
      <c r="L59" s="21"/>
      <c r="M59" s="13"/>
      <c r="N59" s="13"/>
    </row>
    <row r="60" spans="1:14" ht="15" customHeight="1" x14ac:dyDescent="0.45">
      <c r="A60" s="14">
        <v>59</v>
      </c>
      <c r="B60" s="21"/>
      <c r="C60" s="13"/>
      <c r="D60" s="13"/>
      <c r="E60" s="13"/>
      <c r="F60" s="13"/>
      <c r="G60" s="13"/>
      <c r="H60" s="13"/>
      <c r="I60" s="14"/>
      <c r="J60" s="21"/>
      <c r="K60" s="14" t="str">
        <f t="shared" si="1"/>
        <v/>
      </c>
      <c r="L60" s="21"/>
      <c r="M60" s="13"/>
      <c r="N60" s="13"/>
    </row>
    <row r="61" spans="1:14" ht="15" customHeight="1" x14ac:dyDescent="0.45">
      <c r="A61" s="14">
        <v>60</v>
      </c>
      <c r="B61" s="21"/>
      <c r="C61" s="13"/>
      <c r="D61" s="13"/>
      <c r="E61" s="13"/>
      <c r="F61" s="13"/>
      <c r="G61" s="13"/>
      <c r="H61" s="13"/>
      <c r="I61" s="14"/>
      <c r="J61" s="21"/>
      <c r="K61" s="14" t="str">
        <f t="shared" si="1"/>
        <v/>
      </c>
      <c r="L61" s="21"/>
      <c r="M61" s="13"/>
      <c r="N61" s="13"/>
    </row>
    <row r="62" spans="1:14" ht="15" customHeight="1" x14ac:dyDescent="0.45">
      <c r="A62" s="14">
        <v>61</v>
      </c>
      <c r="B62" s="21"/>
      <c r="C62" s="13"/>
      <c r="D62" s="13"/>
      <c r="E62" s="13"/>
      <c r="F62" s="13"/>
      <c r="G62" s="13"/>
      <c r="H62" s="13"/>
      <c r="I62" s="14"/>
      <c r="J62" s="21"/>
      <c r="K62" s="14" t="str">
        <f t="shared" si="1"/>
        <v/>
      </c>
      <c r="L62" s="21"/>
      <c r="M62" s="13"/>
      <c r="N62" s="13"/>
    </row>
    <row r="63" spans="1:14" ht="15" customHeight="1" x14ac:dyDescent="0.45">
      <c r="A63" s="14">
        <v>62</v>
      </c>
      <c r="B63" s="21"/>
      <c r="C63" s="13"/>
      <c r="D63" s="13"/>
      <c r="E63" s="13"/>
      <c r="F63" s="13"/>
      <c r="G63" s="13"/>
      <c r="H63" s="13"/>
      <c r="I63" s="14"/>
      <c r="J63" s="21"/>
      <c r="K63" s="14" t="str">
        <f t="shared" si="1"/>
        <v/>
      </c>
      <c r="L63" s="21"/>
      <c r="M63" s="13"/>
      <c r="N63" s="13"/>
    </row>
    <row r="64" spans="1:14" ht="15" customHeight="1" x14ac:dyDescent="0.45">
      <c r="A64" s="14">
        <v>63</v>
      </c>
      <c r="B64" s="21"/>
      <c r="C64" s="13"/>
      <c r="D64" s="13"/>
      <c r="E64" s="13"/>
      <c r="F64" s="13"/>
      <c r="G64" s="13"/>
      <c r="H64" s="13"/>
      <c r="I64" s="14"/>
      <c r="J64" s="21"/>
      <c r="K64" s="14" t="str">
        <f t="shared" si="1"/>
        <v/>
      </c>
      <c r="L64" s="21"/>
      <c r="M64" s="13"/>
      <c r="N64" s="13"/>
    </row>
    <row r="65" spans="1:14" ht="15" customHeight="1" x14ac:dyDescent="0.45">
      <c r="A65" s="14">
        <v>64</v>
      </c>
      <c r="B65" s="21"/>
      <c r="C65" s="13"/>
      <c r="D65" s="13"/>
      <c r="E65" s="13"/>
      <c r="F65" s="13"/>
      <c r="G65" s="13"/>
      <c r="H65" s="13"/>
      <c r="I65" s="14"/>
      <c r="J65" s="21"/>
      <c r="K65" s="14" t="str">
        <f t="shared" si="1"/>
        <v/>
      </c>
      <c r="L65" s="21"/>
      <c r="M65" s="13"/>
      <c r="N65" s="13"/>
    </row>
    <row r="66" spans="1:14" ht="15" customHeight="1" x14ac:dyDescent="0.45">
      <c r="A66" s="14">
        <v>65</v>
      </c>
      <c r="B66" s="21"/>
      <c r="C66" s="13"/>
      <c r="D66" s="13"/>
      <c r="E66" s="13"/>
      <c r="F66" s="13"/>
      <c r="G66" s="13"/>
      <c r="H66" s="13"/>
      <c r="I66" s="14"/>
      <c r="J66" s="21"/>
      <c r="K66" s="14" t="str">
        <f t="shared" ref="K66:K97" si="2">IF(OR(B66="",J66=""),"",IF(J66&lt;B66,"",J66-B66))</f>
        <v/>
      </c>
      <c r="L66" s="21"/>
      <c r="M66" s="13"/>
      <c r="N66" s="13"/>
    </row>
    <row r="67" spans="1:14" ht="15" customHeight="1" x14ac:dyDescent="0.45">
      <c r="A67" s="14">
        <v>66</v>
      </c>
      <c r="B67" s="21"/>
      <c r="C67" s="13"/>
      <c r="D67" s="13"/>
      <c r="E67" s="13"/>
      <c r="F67" s="13"/>
      <c r="G67" s="13"/>
      <c r="H67" s="13"/>
      <c r="I67" s="14"/>
      <c r="J67" s="21"/>
      <c r="K67" s="14" t="str">
        <f t="shared" si="2"/>
        <v/>
      </c>
      <c r="L67" s="21"/>
      <c r="M67" s="13"/>
      <c r="N67" s="13"/>
    </row>
    <row r="68" spans="1:14" ht="15" customHeight="1" x14ac:dyDescent="0.45">
      <c r="A68" s="14">
        <v>67</v>
      </c>
      <c r="B68" s="21"/>
      <c r="C68" s="13"/>
      <c r="D68" s="13"/>
      <c r="E68" s="13"/>
      <c r="F68" s="13"/>
      <c r="G68" s="13"/>
      <c r="H68" s="13"/>
      <c r="I68" s="14"/>
      <c r="J68" s="21"/>
      <c r="K68" s="14" t="str">
        <f t="shared" si="2"/>
        <v/>
      </c>
      <c r="L68" s="21"/>
      <c r="M68" s="13"/>
      <c r="N68" s="13"/>
    </row>
    <row r="69" spans="1:14" ht="15" customHeight="1" x14ac:dyDescent="0.45">
      <c r="A69" s="14">
        <v>68</v>
      </c>
      <c r="B69" s="21"/>
      <c r="C69" s="13"/>
      <c r="D69" s="13"/>
      <c r="E69" s="13"/>
      <c r="F69" s="13"/>
      <c r="G69" s="13"/>
      <c r="H69" s="13"/>
      <c r="I69" s="14"/>
      <c r="J69" s="21"/>
      <c r="K69" s="14" t="str">
        <f t="shared" si="2"/>
        <v/>
      </c>
      <c r="L69" s="21"/>
      <c r="M69" s="13"/>
      <c r="N69" s="13"/>
    </row>
    <row r="70" spans="1:14" ht="15" customHeight="1" x14ac:dyDescent="0.45">
      <c r="A70" s="14">
        <v>69</v>
      </c>
      <c r="B70" s="21"/>
      <c r="C70" s="13"/>
      <c r="D70" s="13"/>
      <c r="E70" s="13"/>
      <c r="F70" s="13"/>
      <c r="G70" s="13"/>
      <c r="H70" s="13"/>
      <c r="I70" s="14"/>
      <c r="J70" s="21"/>
      <c r="K70" s="14" t="str">
        <f t="shared" si="2"/>
        <v/>
      </c>
      <c r="L70" s="21"/>
      <c r="M70" s="13"/>
      <c r="N70" s="13"/>
    </row>
    <row r="71" spans="1:14" ht="15" customHeight="1" x14ac:dyDescent="0.45">
      <c r="A71" s="14">
        <v>70</v>
      </c>
      <c r="B71" s="21"/>
      <c r="C71" s="13"/>
      <c r="D71" s="13"/>
      <c r="E71" s="13"/>
      <c r="F71" s="13"/>
      <c r="G71" s="13"/>
      <c r="H71" s="13"/>
      <c r="I71" s="14"/>
      <c r="J71" s="21"/>
      <c r="K71" s="14" t="str">
        <f t="shared" si="2"/>
        <v/>
      </c>
      <c r="L71" s="21"/>
      <c r="M71" s="13"/>
      <c r="N71" s="13"/>
    </row>
    <row r="72" spans="1:14" ht="15" customHeight="1" x14ac:dyDescent="0.45">
      <c r="A72" s="14">
        <v>71</v>
      </c>
      <c r="B72" s="21"/>
      <c r="C72" s="13"/>
      <c r="D72" s="13"/>
      <c r="E72" s="13"/>
      <c r="F72" s="13"/>
      <c r="G72" s="13"/>
      <c r="H72" s="13"/>
      <c r="I72" s="14"/>
      <c r="J72" s="21"/>
      <c r="K72" s="14" t="str">
        <f t="shared" si="2"/>
        <v/>
      </c>
      <c r="L72" s="21"/>
      <c r="M72" s="13"/>
      <c r="N72" s="13"/>
    </row>
    <row r="73" spans="1:14" ht="15" customHeight="1" x14ac:dyDescent="0.45">
      <c r="A73" s="14">
        <v>72</v>
      </c>
      <c r="B73" s="21"/>
      <c r="C73" s="13"/>
      <c r="D73" s="13"/>
      <c r="E73" s="13"/>
      <c r="F73" s="13"/>
      <c r="G73" s="13"/>
      <c r="H73" s="13"/>
      <c r="I73" s="14"/>
      <c r="J73" s="21"/>
      <c r="K73" s="14" t="str">
        <f t="shared" si="2"/>
        <v/>
      </c>
      <c r="L73" s="21"/>
      <c r="M73" s="13"/>
      <c r="N73" s="13"/>
    </row>
    <row r="74" spans="1:14" ht="15" customHeight="1" x14ac:dyDescent="0.45">
      <c r="A74" s="14">
        <v>73</v>
      </c>
      <c r="B74" s="21"/>
      <c r="C74" s="13"/>
      <c r="D74" s="13"/>
      <c r="E74" s="13"/>
      <c r="F74" s="13"/>
      <c r="G74" s="13"/>
      <c r="H74" s="13"/>
      <c r="I74" s="14"/>
      <c r="J74" s="21"/>
      <c r="K74" s="14" t="str">
        <f t="shared" si="2"/>
        <v/>
      </c>
      <c r="L74" s="21"/>
      <c r="M74" s="13"/>
      <c r="N74" s="13"/>
    </row>
    <row r="75" spans="1:14" ht="15" customHeight="1" x14ac:dyDescent="0.45">
      <c r="A75" s="14">
        <v>74</v>
      </c>
      <c r="B75" s="21"/>
      <c r="C75" s="13"/>
      <c r="D75" s="13"/>
      <c r="E75" s="13"/>
      <c r="F75" s="13"/>
      <c r="G75" s="13"/>
      <c r="H75" s="13"/>
      <c r="I75" s="14"/>
      <c r="J75" s="21"/>
      <c r="K75" s="14" t="str">
        <f t="shared" si="2"/>
        <v/>
      </c>
      <c r="L75" s="21"/>
      <c r="M75" s="13"/>
      <c r="N75" s="13"/>
    </row>
    <row r="76" spans="1:14" ht="15" customHeight="1" x14ac:dyDescent="0.45">
      <c r="A76" s="14">
        <v>75</v>
      </c>
      <c r="B76" s="21"/>
      <c r="C76" s="13"/>
      <c r="D76" s="13"/>
      <c r="E76" s="13"/>
      <c r="F76" s="13"/>
      <c r="G76" s="13"/>
      <c r="H76" s="13"/>
      <c r="I76" s="14"/>
      <c r="J76" s="21"/>
      <c r="K76" s="14" t="str">
        <f t="shared" si="2"/>
        <v/>
      </c>
      <c r="L76" s="21"/>
      <c r="M76" s="13"/>
      <c r="N76" s="13"/>
    </row>
    <row r="77" spans="1:14" ht="15" customHeight="1" x14ac:dyDescent="0.45">
      <c r="A77" s="14">
        <v>76</v>
      </c>
      <c r="B77" s="21"/>
      <c r="C77" s="13"/>
      <c r="D77" s="13"/>
      <c r="E77" s="13"/>
      <c r="F77" s="13"/>
      <c r="G77" s="13"/>
      <c r="H77" s="13"/>
      <c r="I77" s="14"/>
      <c r="J77" s="21"/>
      <c r="K77" s="14" t="str">
        <f t="shared" si="2"/>
        <v/>
      </c>
      <c r="L77" s="21"/>
      <c r="M77" s="13"/>
      <c r="N77" s="13"/>
    </row>
    <row r="78" spans="1:14" ht="15" customHeight="1" x14ac:dyDescent="0.45">
      <c r="A78" s="14">
        <v>77</v>
      </c>
      <c r="B78" s="21"/>
      <c r="C78" s="13"/>
      <c r="D78" s="13"/>
      <c r="E78" s="13"/>
      <c r="F78" s="13"/>
      <c r="G78" s="13"/>
      <c r="H78" s="13"/>
      <c r="I78" s="14"/>
      <c r="J78" s="21"/>
      <c r="K78" s="14" t="str">
        <f t="shared" si="2"/>
        <v/>
      </c>
      <c r="L78" s="21"/>
      <c r="M78" s="13"/>
      <c r="N78" s="13"/>
    </row>
    <row r="79" spans="1:14" ht="15" customHeight="1" x14ac:dyDescent="0.45">
      <c r="A79" s="14">
        <v>78</v>
      </c>
      <c r="B79" s="21"/>
      <c r="C79" s="13"/>
      <c r="D79" s="13"/>
      <c r="E79" s="13"/>
      <c r="F79" s="13"/>
      <c r="G79" s="13"/>
      <c r="H79" s="13"/>
      <c r="I79" s="14"/>
      <c r="J79" s="21"/>
      <c r="K79" s="14" t="str">
        <f t="shared" si="2"/>
        <v/>
      </c>
      <c r="L79" s="21"/>
      <c r="M79" s="13"/>
      <c r="N79" s="13"/>
    </row>
    <row r="80" spans="1:14" ht="15" customHeight="1" x14ac:dyDescent="0.45">
      <c r="A80" s="14">
        <v>79</v>
      </c>
      <c r="B80" s="21"/>
      <c r="C80" s="13"/>
      <c r="D80" s="13"/>
      <c r="E80" s="13"/>
      <c r="F80" s="13"/>
      <c r="G80" s="13"/>
      <c r="H80" s="13"/>
      <c r="I80" s="14"/>
      <c r="J80" s="21"/>
      <c r="K80" s="14" t="str">
        <f t="shared" si="2"/>
        <v/>
      </c>
      <c r="L80" s="21"/>
      <c r="M80" s="13"/>
      <c r="N80" s="13"/>
    </row>
    <row r="81" spans="1:14" ht="15" customHeight="1" x14ac:dyDescent="0.45">
      <c r="A81" s="14">
        <v>80</v>
      </c>
      <c r="B81" s="21"/>
      <c r="C81" s="13"/>
      <c r="D81" s="13"/>
      <c r="E81" s="13"/>
      <c r="F81" s="13"/>
      <c r="G81" s="13"/>
      <c r="H81" s="13"/>
      <c r="I81" s="14"/>
      <c r="J81" s="21"/>
      <c r="K81" s="14" t="str">
        <f t="shared" si="2"/>
        <v/>
      </c>
      <c r="L81" s="21"/>
      <c r="M81" s="13"/>
      <c r="N81" s="13"/>
    </row>
    <row r="82" spans="1:14" ht="15" customHeight="1" x14ac:dyDescent="0.45">
      <c r="A82" s="14">
        <v>81</v>
      </c>
      <c r="B82" s="21"/>
      <c r="C82" s="13"/>
      <c r="D82" s="13"/>
      <c r="E82" s="13"/>
      <c r="F82" s="13"/>
      <c r="G82" s="13"/>
      <c r="H82" s="13"/>
      <c r="I82" s="14"/>
      <c r="J82" s="21"/>
      <c r="K82" s="14" t="str">
        <f t="shared" si="2"/>
        <v/>
      </c>
      <c r="L82" s="21"/>
      <c r="M82" s="13"/>
      <c r="N82" s="13"/>
    </row>
    <row r="83" spans="1:14" ht="15" customHeight="1" x14ac:dyDescent="0.45">
      <c r="A83" s="14">
        <v>82</v>
      </c>
      <c r="B83" s="21"/>
      <c r="C83" s="13"/>
      <c r="D83" s="13"/>
      <c r="E83" s="13"/>
      <c r="F83" s="13"/>
      <c r="G83" s="13"/>
      <c r="H83" s="13"/>
      <c r="I83" s="14"/>
      <c r="J83" s="21"/>
      <c r="K83" s="14" t="str">
        <f t="shared" si="2"/>
        <v/>
      </c>
      <c r="L83" s="21"/>
      <c r="M83" s="13"/>
      <c r="N83" s="13"/>
    </row>
    <row r="84" spans="1:14" ht="15" customHeight="1" x14ac:dyDescent="0.45">
      <c r="A84" s="14">
        <v>83</v>
      </c>
      <c r="B84" s="21"/>
      <c r="C84" s="13"/>
      <c r="D84" s="13"/>
      <c r="E84" s="13"/>
      <c r="F84" s="13"/>
      <c r="G84" s="13"/>
      <c r="H84" s="13"/>
      <c r="I84" s="14"/>
      <c r="J84" s="21"/>
      <c r="K84" s="14" t="str">
        <f t="shared" si="2"/>
        <v/>
      </c>
      <c r="L84" s="21"/>
      <c r="M84" s="13"/>
      <c r="N84" s="13"/>
    </row>
    <row r="85" spans="1:14" ht="15" customHeight="1" x14ac:dyDescent="0.45">
      <c r="A85" s="14">
        <v>84</v>
      </c>
      <c r="B85" s="21"/>
      <c r="C85" s="13"/>
      <c r="D85" s="13"/>
      <c r="E85" s="13"/>
      <c r="F85" s="13"/>
      <c r="G85" s="13"/>
      <c r="H85" s="13"/>
      <c r="I85" s="14"/>
      <c r="J85" s="21"/>
      <c r="K85" s="14" t="str">
        <f t="shared" si="2"/>
        <v/>
      </c>
      <c r="L85" s="21"/>
      <c r="M85" s="13"/>
      <c r="N85" s="13"/>
    </row>
    <row r="86" spans="1:14" ht="15" customHeight="1" x14ac:dyDescent="0.45">
      <c r="A86" s="14">
        <v>85</v>
      </c>
      <c r="B86" s="21"/>
      <c r="C86" s="13"/>
      <c r="D86" s="13"/>
      <c r="E86" s="13"/>
      <c r="F86" s="13"/>
      <c r="G86" s="13"/>
      <c r="H86" s="13"/>
      <c r="I86" s="14"/>
      <c r="J86" s="21"/>
      <c r="K86" s="14" t="str">
        <f t="shared" si="2"/>
        <v/>
      </c>
      <c r="L86" s="21"/>
      <c r="M86" s="13"/>
      <c r="N86" s="13"/>
    </row>
    <row r="87" spans="1:14" ht="15" customHeight="1" x14ac:dyDescent="0.45">
      <c r="A87" s="14">
        <v>86</v>
      </c>
      <c r="B87" s="21"/>
      <c r="C87" s="13"/>
      <c r="D87" s="13"/>
      <c r="E87" s="13"/>
      <c r="F87" s="13"/>
      <c r="G87" s="13"/>
      <c r="H87" s="13"/>
      <c r="I87" s="14"/>
      <c r="J87" s="21"/>
      <c r="K87" s="14" t="str">
        <f t="shared" si="2"/>
        <v/>
      </c>
      <c r="L87" s="21"/>
      <c r="M87" s="13"/>
      <c r="N87" s="13"/>
    </row>
    <row r="88" spans="1:14" ht="15" customHeight="1" x14ac:dyDescent="0.45">
      <c r="A88" s="14">
        <v>87</v>
      </c>
      <c r="B88" s="21"/>
      <c r="C88" s="13"/>
      <c r="D88" s="13"/>
      <c r="E88" s="13"/>
      <c r="F88" s="13"/>
      <c r="G88" s="13"/>
      <c r="H88" s="13"/>
      <c r="I88" s="14"/>
      <c r="J88" s="21"/>
      <c r="K88" s="14" t="str">
        <f t="shared" si="2"/>
        <v/>
      </c>
      <c r="L88" s="21"/>
      <c r="M88" s="13"/>
      <c r="N88" s="13"/>
    </row>
    <row r="89" spans="1:14" ht="15" customHeight="1" x14ac:dyDescent="0.45">
      <c r="A89" s="14">
        <v>88</v>
      </c>
      <c r="B89" s="21"/>
      <c r="C89" s="13"/>
      <c r="D89" s="13"/>
      <c r="E89" s="13"/>
      <c r="F89" s="13"/>
      <c r="G89" s="13"/>
      <c r="H89" s="13"/>
      <c r="I89" s="14"/>
      <c r="J89" s="21"/>
      <c r="K89" s="14" t="str">
        <f t="shared" si="2"/>
        <v/>
      </c>
      <c r="L89" s="21"/>
      <c r="M89" s="13"/>
      <c r="N89" s="13"/>
    </row>
    <row r="90" spans="1:14" ht="15" customHeight="1" x14ac:dyDescent="0.45">
      <c r="A90" s="14">
        <v>89</v>
      </c>
      <c r="B90" s="21"/>
      <c r="C90" s="13"/>
      <c r="D90" s="13"/>
      <c r="E90" s="13"/>
      <c r="F90" s="13"/>
      <c r="G90" s="13"/>
      <c r="H90" s="13"/>
      <c r="I90" s="14"/>
      <c r="J90" s="21"/>
      <c r="K90" s="14" t="str">
        <f t="shared" si="2"/>
        <v/>
      </c>
      <c r="L90" s="21"/>
      <c r="M90" s="13"/>
      <c r="N90" s="13"/>
    </row>
    <row r="91" spans="1:14" ht="15" customHeight="1" x14ac:dyDescent="0.45">
      <c r="A91" s="14">
        <v>90</v>
      </c>
      <c r="B91" s="21"/>
      <c r="C91" s="13"/>
      <c r="D91" s="13"/>
      <c r="E91" s="13"/>
      <c r="F91" s="13"/>
      <c r="G91" s="13"/>
      <c r="H91" s="13"/>
      <c r="I91" s="14"/>
      <c r="J91" s="21"/>
      <c r="K91" s="14" t="str">
        <f t="shared" si="2"/>
        <v/>
      </c>
      <c r="L91" s="21"/>
      <c r="M91" s="13"/>
      <c r="N91" s="13"/>
    </row>
    <row r="92" spans="1:14" ht="15" customHeight="1" x14ac:dyDescent="0.45">
      <c r="A92" s="14">
        <v>91</v>
      </c>
      <c r="B92" s="21"/>
      <c r="C92" s="13"/>
      <c r="D92" s="13"/>
      <c r="E92" s="13"/>
      <c r="F92" s="13"/>
      <c r="G92" s="13"/>
      <c r="H92" s="13"/>
      <c r="I92" s="14"/>
      <c r="J92" s="21"/>
      <c r="K92" s="14" t="str">
        <f t="shared" si="2"/>
        <v/>
      </c>
      <c r="L92" s="21"/>
      <c r="M92" s="13"/>
      <c r="N92" s="13"/>
    </row>
    <row r="93" spans="1:14" ht="15" customHeight="1" x14ac:dyDescent="0.45">
      <c r="A93" s="14">
        <v>92</v>
      </c>
      <c r="B93" s="21"/>
      <c r="C93" s="13"/>
      <c r="D93" s="13"/>
      <c r="E93" s="13"/>
      <c r="F93" s="13"/>
      <c r="G93" s="13"/>
      <c r="H93" s="13"/>
      <c r="I93" s="14"/>
      <c r="J93" s="21"/>
      <c r="K93" s="14" t="str">
        <f t="shared" si="2"/>
        <v/>
      </c>
      <c r="L93" s="21"/>
      <c r="M93" s="13"/>
      <c r="N93" s="13"/>
    </row>
    <row r="94" spans="1:14" ht="15" customHeight="1" x14ac:dyDescent="0.45">
      <c r="A94" s="14">
        <v>93</v>
      </c>
      <c r="B94" s="21"/>
      <c r="C94" s="13"/>
      <c r="D94" s="13"/>
      <c r="E94" s="13"/>
      <c r="F94" s="13"/>
      <c r="G94" s="13"/>
      <c r="H94" s="13"/>
      <c r="I94" s="14"/>
      <c r="J94" s="21"/>
      <c r="K94" s="14" t="str">
        <f t="shared" si="2"/>
        <v/>
      </c>
      <c r="L94" s="21"/>
      <c r="M94" s="13"/>
      <c r="N94" s="13"/>
    </row>
    <row r="95" spans="1:14" ht="15" customHeight="1" x14ac:dyDescent="0.45">
      <c r="A95" s="14">
        <v>94</v>
      </c>
      <c r="B95" s="21"/>
      <c r="C95" s="13"/>
      <c r="D95" s="13"/>
      <c r="E95" s="13"/>
      <c r="F95" s="13"/>
      <c r="G95" s="13"/>
      <c r="H95" s="13"/>
      <c r="I95" s="14"/>
      <c r="J95" s="21"/>
      <c r="K95" s="14" t="str">
        <f t="shared" si="2"/>
        <v/>
      </c>
      <c r="L95" s="21"/>
      <c r="M95" s="13"/>
      <c r="N95" s="13"/>
    </row>
    <row r="96" spans="1:14" ht="15" customHeight="1" x14ac:dyDescent="0.45">
      <c r="A96" s="14">
        <v>95</v>
      </c>
      <c r="B96" s="21"/>
      <c r="C96" s="13"/>
      <c r="D96" s="13"/>
      <c r="E96" s="13"/>
      <c r="F96" s="13"/>
      <c r="G96" s="13"/>
      <c r="H96" s="13"/>
      <c r="I96" s="14"/>
      <c r="J96" s="21"/>
      <c r="K96" s="14" t="str">
        <f t="shared" si="2"/>
        <v/>
      </c>
      <c r="L96" s="21"/>
      <c r="M96" s="13"/>
      <c r="N96" s="13"/>
    </row>
    <row r="97" spans="1:14" ht="15" customHeight="1" x14ac:dyDescent="0.45">
      <c r="A97" s="14">
        <v>96</v>
      </c>
      <c r="B97" s="21"/>
      <c r="C97" s="13"/>
      <c r="D97" s="13"/>
      <c r="E97" s="13"/>
      <c r="F97" s="13"/>
      <c r="G97" s="13"/>
      <c r="H97" s="13"/>
      <c r="I97" s="14"/>
      <c r="J97" s="21"/>
      <c r="K97" s="14" t="str">
        <f t="shared" si="2"/>
        <v/>
      </c>
      <c r="L97" s="21"/>
      <c r="M97" s="13"/>
      <c r="N97" s="13"/>
    </row>
    <row r="98" spans="1:14" ht="15" customHeight="1" x14ac:dyDescent="0.45">
      <c r="A98" s="14">
        <v>97</v>
      </c>
      <c r="B98" s="21"/>
      <c r="C98" s="13"/>
      <c r="D98" s="13"/>
      <c r="E98" s="13"/>
      <c r="F98" s="13"/>
      <c r="G98" s="13"/>
      <c r="H98" s="13"/>
      <c r="I98" s="14"/>
      <c r="J98" s="21"/>
      <c r="K98" s="14" t="str">
        <f t="shared" ref="K98:K129" si="3">IF(OR(B98="",J98=""),"",IF(J98&lt;B98,"",J98-B98))</f>
        <v/>
      </c>
      <c r="L98" s="21"/>
      <c r="M98" s="13"/>
      <c r="N98" s="13"/>
    </row>
    <row r="99" spans="1:14" ht="15" customHeight="1" x14ac:dyDescent="0.45">
      <c r="A99" s="14">
        <v>98</v>
      </c>
      <c r="B99" s="21"/>
      <c r="C99" s="13"/>
      <c r="D99" s="13"/>
      <c r="E99" s="13"/>
      <c r="F99" s="13"/>
      <c r="G99" s="13"/>
      <c r="H99" s="13"/>
      <c r="I99" s="14"/>
      <c r="J99" s="21"/>
      <c r="K99" s="14" t="str">
        <f t="shared" si="3"/>
        <v/>
      </c>
      <c r="L99" s="21"/>
      <c r="M99" s="13"/>
      <c r="N99" s="13"/>
    </row>
    <row r="100" spans="1:14" ht="15" customHeight="1" x14ac:dyDescent="0.45">
      <c r="A100" s="14">
        <v>99</v>
      </c>
      <c r="B100" s="21"/>
      <c r="C100" s="13"/>
      <c r="D100" s="13"/>
      <c r="E100" s="13"/>
      <c r="F100" s="13"/>
      <c r="G100" s="13"/>
      <c r="H100" s="13"/>
      <c r="I100" s="14"/>
      <c r="J100" s="21"/>
      <c r="K100" s="14" t="str">
        <f t="shared" si="3"/>
        <v/>
      </c>
      <c r="L100" s="21"/>
      <c r="M100" s="13"/>
      <c r="N100" s="13"/>
    </row>
    <row r="101" spans="1:14" ht="15" customHeight="1" x14ac:dyDescent="0.45">
      <c r="A101" s="14">
        <v>100</v>
      </c>
      <c r="B101" s="21"/>
      <c r="C101" s="13"/>
      <c r="D101" s="13"/>
      <c r="E101" s="13"/>
      <c r="F101" s="13"/>
      <c r="G101" s="13"/>
      <c r="H101" s="13"/>
      <c r="I101" s="14"/>
      <c r="J101" s="21"/>
      <c r="K101" s="14" t="str">
        <f t="shared" si="3"/>
        <v/>
      </c>
      <c r="L101" s="21"/>
      <c r="M101" s="13"/>
      <c r="N101" s="13"/>
    </row>
  </sheetData>
  <conditionalFormatting sqref="I2:I101">
    <cfRule type="cellIs" dxfId="1" priority="3" operator="equal">
      <formula>"Yes"</formula>
    </cfRule>
  </conditionalFormatting>
  <conditionalFormatting sqref="L2:L101">
    <cfRule type="expression" dxfId="0" priority="2">
      <formula>AND(L2&lt;&gt;"",L2&lt;TODAY(),OR(I2="No",I2="Pending"))</formula>
    </cfRule>
  </conditionalFormatting>
  <dataValidations count="3">
    <dataValidation type="list" allowBlank="1" sqref="F2:F101" xr:uid="{00000000-0002-0000-0700-000000000000}">
      <formula1>"Brunel alum,LinkedIn cold,Warm intro,Recruiter,Event,Twitter/X,GitHub"</formula1>
      <formula2>0</formula2>
    </dataValidation>
    <dataValidation type="list" allowBlank="1" sqref="G2:G101" xr:uid="{00000000-0002-0000-0700-000001000000}">
      <formula1>"LinkedIn DM,LinkedIn InMail,Cold Email,Twitter DM,Reply to post,WhatsApp,In Person"</formula1>
      <formula2>0</formula2>
    </dataValidation>
    <dataValidation type="list" allowBlank="1" sqref="I2:I101" xr:uid="{00000000-0002-0000-0700-000002000000}">
      <formula1>"Yes,No,Pending"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0"/>
  <sheetViews>
    <sheetView zoomScaleNormal="100" workbookViewId="0">
      <selection sqref="A1:D1"/>
    </sheetView>
  </sheetViews>
  <sheetFormatPr defaultColWidth="8.6640625" defaultRowHeight="14.25" x14ac:dyDescent="0.45"/>
  <cols>
    <col min="1" max="1" width="32" customWidth="1"/>
    <col min="2" max="2" width="18" customWidth="1"/>
    <col min="3" max="4" width="4" customWidth="1"/>
    <col min="6" max="6" width="14" customWidth="1"/>
    <col min="8" max="8" width="12" customWidth="1"/>
    <col min="10" max="10" width="14" customWidth="1"/>
  </cols>
  <sheetData>
    <row r="1" spans="1:10" ht="17.25" customHeight="1" x14ac:dyDescent="0.55000000000000004">
      <c r="A1" s="2" t="s">
        <v>664</v>
      </c>
      <c r="B1" s="2"/>
      <c r="C1" s="2"/>
      <c r="D1" s="2"/>
    </row>
    <row r="3" spans="1:10" ht="15" customHeight="1" x14ac:dyDescent="0.45">
      <c r="A3" s="10" t="s">
        <v>665</v>
      </c>
      <c r="B3" s="10" t="s">
        <v>666</v>
      </c>
      <c r="C3" s="10"/>
      <c r="D3" s="10"/>
      <c r="F3" s="10" t="s">
        <v>667</v>
      </c>
      <c r="H3" s="10" t="s">
        <v>131</v>
      </c>
      <c r="J3" s="10" t="s">
        <v>668</v>
      </c>
    </row>
    <row r="4" spans="1:10" ht="15" customHeight="1" x14ac:dyDescent="0.45">
      <c r="A4" s="22" t="s">
        <v>669</v>
      </c>
      <c r="B4" s="21">
        <v>46146</v>
      </c>
      <c r="C4" s="13"/>
      <c r="D4" s="13"/>
      <c r="F4" s="14" t="s">
        <v>137</v>
      </c>
      <c r="H4" s="14" t="s">
        <v>136</v>
      </c>
      <c r="J4" s="14" t="s">
        <v>21</v>
      </c>
    </row>
    <row r="5" spans="1:10" ht="15" customHeight="1" x14ac:dyDescent="0.45">
      <c r="A5" s="22" t="s">
        <v>670</v>
      </c>
      <c r="B5" s="21">
        <v>46194</v>
      </c>
      <c r="C5" s="13"/>
      <c r="D5" s="13"/>
      <c r="F5" s="14" t="s">
        <v>671</v>
      </c>
      <c r="H5" s="14" t="s">
        <v>155</v>
      </c>
      <c r="J5" s="14" t="s">
        <v>25</v>
      </c>
    </row>
    <row r="6" spans="1:10" ht="15" customHeight="1" x14ac:dyDescent="0.45">
      <c r="A6" s="22" t="s">
        <v>672</v>
      </c>
      <c r="B6" s="21">
        <v>46265</v>
      </c>
      <c r="C6" s="13"/>
      <c r="D6" s="13"/>
      <c r="F6" s="14" t="s">
        <v>13</v>
      </c>
      <c r="H6" s="14" t="s">
        <v>151</v>
      </c>
      <c r="J6" s="14" t="s">
        <v>35</v>
      </c>
    </row>
    <row r="7" spans="1:10" ht="15" customHeight="1" x14ac:dyDescent="0.45">
      <c r="A7" s="22" t="s">
        <v>673</v>
      </c>
      <c r="B7" s="21">
        <v>46280</v>
      </c>
      <c r="C7" s="13"/>
      <c r="D7" s="13"/>
      <c r="F7" s="14" t="s">
        <v>674</v>
      </c>
      <c r="H7" s="14" t="s">
        <v>147</v>
      </c>
      <c r="J7" s="14" t="s">
        <v>39</v>
      </c>
    </row>
    <row r="8" spans="1:10" ht="15" customHeight="1" x14ac:dyDescent="0.45">
      <c r="A8" s="22" t="s">
        <v>675</v>
      </c>
      <c r="B8" s="21">
        <v>46356</v>
      </c>
      <c r="C8" s="13"/>
      <c r="D8" s="13"/>
      <c r="F8" s="14" t="s">
        <v>676</v>
      </c>
      <c r="J8" s="14" t="s">
        <v>43</v>
      </c>
    </row>
    <row r="9" spans="1:10" ht="15" customHeight="1" x14ac:dyDescent="0.45">
      <c r="A9" s="22" t="s">
        <v>677</v>
      </c>
      <c r="B9" s="21">
        <f ca="1">TODAY()</f>
        <v>46149</v>
      </c>
      <c r="C9" s="13"/>
      <c r="D9" s="13"/>
      <c r="J9" s="14" t="s">
        <v>46</v>
      </c>
    </row>
    <row r="10" spans="1:10" ht="15" customHeight="1" x14ac:dyDescent="0.45">
      <c r="J10" s="14" t="s">
        <v>49</v>
      </c>
    </row>
    <row r="12" spans="1:10" ht="15" customHeight="1" x14ac:dyDescent="0.45">
      <c r="A12" s="18" t="s">
        <v>678</v>
      </c>
    </row>
    <row r="13" spans="1:10" ht="15" customHeight="1" x14ac:dyDescent="0.45">
      <c r="A13" s="1" t="s">
        <v>679</v>
      </c>
      <c r="B13" s="1"/>
      <c r="C13" s="1"/>
      <c r="D13" s="1"/>
      <c r="E13" s="1"/>
      <c r="F13" s="1"/>
      <c r="G13" s="1"/>
      <c r="H13" s="1"/>
      <c r="I13" s="1"/>
      <c r="J13" s="1"/>
    </row>
    <row r="14" spans="1:10" ht="15" customHeight="1" x14ac:dyDescent="0.45">
      <c r="A14" s="1" t="s">
        <v>680</v>
      </c>
      <c r="B14" s="1"/>
      <c r="C14" s="1"/>
      <c r="D14" s="1"/>
      <c r="E14" s="1"/>
      <c r="F14" s="1"/>
      <c r="G14" s="1"/>
      <c r="H14" s="1"/>
      <c r="I14" s="1"/>
      <c r="J14" s="1"/>
    </row>
    <row r="15" spans="1:10" ht="15" customHeight="1" x14ac:dyDescent="0.45">
      <c r="A15" s="1" t="s">
        <v>681</v>
      </c>
      <c r="B15" s="1"/>
      <c r="C15" s="1"/>
      <c r="D15" s="1"/>
      <c r="E15" s="1"/>
      <c r="F15" s="1"/>
      <c r="G15" s="1"/>
      <c r="H15" s="1"/>
      <c r="I15" s="1"/>
      <c r="J15" s="1"/>
    </row>
    <row r="16" spans="1:10" ht="15" customHeight="1" x14ac:dyDescent="0.45">
      <c r="A16" s="1" t="s">
        <v>682</v>
      </c>
      <c r="B16" s="1"/>
      <c r="C16" s="1"/>
      <c r="D16" s="1"/>
      <c r="E16" s="1"/>
      <c r="F16" s="1"/>
      <c r="G16" s="1"/>
      <c r="H16" s="1"/>
      <c r="I16" s="1"/>
      <c r="J16" s="1"/>
    </row>
    <row r="17" spans="1:10" ht="15" customHeight="1" x14ac:dyDescent="0.45">
      <c r="A17" s="1" t="s">
        <v>683</v>
      </c>
      <c r="B17" s="1"/>
      <c r="C17" s="1"/>
      <c r="D17" s="1"/>
      <c r="E17" s="1"/>
      <c r="F17" s="1"/>
      <c r="G17" s="1"/>
      <c r="H17" s="1"/>
      <c r="I17" s="1"/>
      <c r="J17" s="1"/>
    </row>
    <row r="18" spans="1:10" ht="15" customHeight="1" x14ac:dyDescent="0.45">
      <c r="A18" s="1" t="s">
        <v>684</v>
      </c>
      <c r="B18" s="1"/>
      <c r="C18" s="1"/>
      <c r="D18" s="1"/>
      <c r="E18" s="1"/>
      <c r="F18" s="1"/>
      <c r="G18" s="1"/>
      <c r="H18" s="1"/>
      <c r="I18" s="1"/>
      <c r="J18" s="1"/>
    </row>
    <row r="19" spans="1:10" ht="15" customHeight="1" x14ac:dyDescent="0.45">
      <c r="A19" s="1" t="s">
        <v>685</v>
      </c>
      <c r="B19" s="1"/>
      <c r="C19" s="1"/>
      <c r="D19" s="1"/>
      <c r="E19" s="1"/>
      <c r="F19" s="1"/>
      <c r="G19" s="1"/>
      <c r="H19" s="1"/>
      <c r="I19" s="1"/>
      <c r="J19" s="1"/>
    </row>
    <row r="20" spans="1:10" ht="15" customHeight="1" x14ac:dyDescent="0.45">
      <c r="A20" s="1" t="s">
        <v>686</v>
      </c>
      <c r="B20" s="1"/>
      <c r="C20" s="1"/>
      <c r="D20" s="1"/>
      <c r="E20" s="1"/>
      <c r="F20" s="1"/>
      <c r="G20" s="1"/>
      <c r="H20" s="1"/>
      <c r="I20" s="1"/>
      <c r="J20" s="1"/>
    </row>
  </sheetData>
  <mergeCells count="9">
    <mergeCell ref="A17:J17"/>
    <mergeCell ref="A18:J18"/>
    <mergeCell ref="A19:J19"/>
    <mergeCell ref="A20:J20"/>
    <mergeCell ref="A1:D1"/>
    <mergeCell ref="A13:J13"/>
    <mergeCell ref="A14:J14"/>
    <mergeCell ref="A15:J15"/>
    <mergeCell ref="A16:J1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Dashboard</vt:lpstr>
      <vt:lpstr>Weekly Overview</vt:lpstr>
      <vt:lpstr>Daily Log</vt:lpstr>
      <vt:lpstr>ARIS Tasks</vt:lpstr>
      <vt:lpstr>DSA Tracker</vt:lpstr>
      <vt:lpstr>Resources</vt:lpstr>
      <vt:lpstr>Applications</vt:lpstr>
      <vt:lpstr>Networking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Anas Nadeem</cp:lastModifiedBy>
  <cp:revision>2</cp:revision>
  <dcterms:created xsi:type="dcterms:W3CDTF">2026-05-07T02:19:05Z</dcterms:created>
  <dcterms:modified xsi:type="dcterms:W3CDTF">2026-05-07T14:03:38Z</dcterms:modified>
  <dc:language>en-US</dc:language>
</cp:coreProperties>
</file>